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'Calculations'!$A$1:$AI$4</definedName>
    <definedName name="_xlnm._FilterDatabase" localSheetId="2" hidden="1">'Agents'!$A$1:$N$2</definedName>
    <definedName name="_xlnm._FilterDatabase" localSheetId="3" hidden="1">'Volume'!$A$1:$J$2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'Pricing'!$A$1:$K$2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Tiered agent</t>
        </is>
      </c>
      <c r="C2" t="inlineStr">
        <is>
          <t>Aggregate</t>
        </is>
      </c>
      <c r="D2" t="inlineStr">
        <is>
          <t>Tier Fixture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</v>
      </c>
      <c r="I2" s="2" t="n">
        <v>150000</v>
      </c>
      <c r="J2" s="2" t="n">
        <v>750</v>
      </c>
      <c r="K2" s="2" t="n">
        <v>0.25</v>
      </c>
      <c r="L2" s="2" t="n">
        <v>0.25</v>
      </c>
      <c r="M2" s="2" t="n">
        <v>2</v>
      </c>
      <c r="N2" s="2" t="n">
        <v>8</v>
      </c>
      <c r="O2" s="2" t="n">
        <v>0.5</v>
      </c>
      <c r="P2" s="2" t="n">
        <v>3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Expected</t>
        </is>
      </c>
      <c r="B3" t="inlineStr">
        <is>
          <t>Tiered agent</t>
        </is>
      </c>
      <c r="C3" t="inlineStr">
        <is>
          <t>Aggregate</t>
        </is>
      </c>
      <c r="D3" t="inlineStr">
        <is>
          <t>Tier Fixture</t>
        </is>
      </c>
      <c r="E3" s="2" t="n">
        <v>1</v>
      </c>
      <c r="F3" s="2">
        <f>IF(Z3="daily_users",AA3*AB3*AC3,AD3)*AE3</f>
        <v/>
      </c>
      <c r="G3" s="2" t="n">
        <v>1</v>
      </c>
      <c r="H3" s="2" t="n">
        <v>0</v>
      </c>
      <c r="I3" s="2" t="n">
        <v>200000</v>
      </c>
      <c r="J3" s="2" t="n">
        <v>1000</v>
      </c>
      <c r="K3" s="2" t="n">
        <v>0.25</v>
      </c>
      <c r="L3" s="2" t="n">
        <v>0.25</v>
      </c>
      <c r="M3" s="2" t="n">
        <v>2</v>
      </c>
      <c r="N3" s="2" t="n">
        <v>8</v>
      </c>
      <c r="O3" s="2" t="n">
        <v>0.5</v>
      </c>
      <c r="P3" s="2" t="n">
        <v>3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High</t>
        </is>
      </c>
      <c r="B4" t="inlineStr">
        <is>
          <t>Tiered agent</t>
        </is>
      </c>
      <c r="C4" t="inlineStr">
        <is>
          <t>Aggregate</t>
        </is>
      </c>
      <c r="D4" t="inlineStr">
        <is>
          <t>Tier Fixture</t>
        </is>
      </c>
      <c r="E4" s="2" t="n">
        <v>1</v>
      </c>
      <c r="F4" s="2">
        <f>IF(Z4="daily_users",AA4*AB4*AC4,AD4)*AE4</f>
        <v/>
      </c>
      <c r="G4" s="2" t="n">
        <v>1</v>
      </c>
      <c r="H4" s="2" t="n">
        <v>0</v>
      </c>
      <c r="I4" s="2" t="n">
        <v>300000</v>
      </c>
      <c r="J4" s="2" t="n">
        <v>1500</v>
      </c>
      <c r="K4" s="2" t="n">
        <v>0.25</v>
      </c>
      <c r="L4" s="2" t="n">
        <v>0.25</v>
      </c>
      <c r="M4" s="2" t="n">
        <v>4</v>
      </c>
      <c r="N4" s="2" t="n">
        <v>12</v>
      </c>
      <c r="O4" s="2" t="n">
        <v>1</v>
      </c>
      <c r="P4" s="2" t="n">
        <v>6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</sheetData>
  <autoFilter ref="A1:A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s="2" t="n">
        <v>10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t="inlineStr">
        <is>
          <t>manual</t>
        </is>
      </c>
      <c r="G2" s="2" t="n">
        <v>30</v>
      </c>
      <c r="H2" s="2" t="n">
        <v>10</v>
      </c>
      <c r="I2" s="2">
        <f>IF(D2="daily_users",E2*F2*G2,H2)</f>
        <v/>
      </c>
      <c r="J2" s="2">
        <f>C2*I2</f>
        <v/>
      </c>
    </row>
  </sheetData>
  <autoFilter ref="A1:J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SUMIFS(Calculations!AG2:AG4,Calculations!A2:A4,"Expected",Calculations!AF2:AF4,A2)</f>
        <v/>
      </c>
      <c r="D2" s="2">
        <f>SUMIFS(Calculations!T2:T4,Calculations!A2:A4,"Expected",Calculations!AF2:AF4,A2)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SUMIFS(Calculations!AH2:AH4,Calculations!A2:A4,"Expected",Calculations!AF2:AF4,A3)</f>
        <v/>
      </c>
      <c r="D3" s="2">
        <f>SUMIFS(Calculations!V2:V4,Calculations!A2:A4,"Expected",Calculations!AF2:AF4,A3)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SUMIFS(Calculations!AI2:AI4,Calculations!A2:A4,"Expected",Calculations!AF2:AF4,A4)</f>
        <v/>
      </c>
      <c r="D4" s="2">
        <f>SUMIFS(Calculations!W2:W4,Calculations!A2:A4,"Expected",Calculations!AF2:AF4,A4)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SUMIFS(Calculations!S2:S4,Calculations!A2:A4,"Expected",Calculations!AF2:AF4,A5)</f>
        <v/>
      </c>
      <c r="D5" s="2">
        <f>SUMIFS(Calculations!U2:U4,Calculations!A2:A4,"Expected",Calculations!AF2:AF4,A5)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SUMIFS(Calculations!AG2:AG4,Calculations!A2:A4,"Expected",Calculations!AF2:AF4,A7)</f>
        <v/>
      </c>
      <c r="D7" s="2">
        <f>SUMIFS(Calculations!T2:T4,Calculations!A2:A4,"Expected",Calculations!AF2:AF4,A7)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SUMIFS(Calculations!AH2:AH4,Calculations!A2:A4,"Expected",Calculations!AF2:AF4,A8)</f>
        <v/>
      </c>
      <c r="D8" s="2">
        <f>SUMIFS(Calculations!V2:V4,Calculations!A2:A4,"Expected",Calculations!AF2:AF4,A8)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SUMIFS(Calculations!AI2:AI4,Calculations!A2:A4,"Expected",Calculations!AF2:AF4,A9)</f>
        <v/>
      </c>
      <c r="D9" s="2">
        <f>SUMIFS(Calculations!W2:W4,Calculations!A2:A4,"Expected",Calculations!AF2:AF4,A9)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SUMIFS(Calculations!S2:S4,Calculations!A2:A4,"Expected",Calculations!AF2:AF4,A10)</f>
        <v/>
      </c>
      <c r="D10" s="2">
        <f>SUMIFS(Calculations!U2:U4,Calculations!A2:A4,"Expected",Calculations!AF2:AF4,A10)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SUMIFS(Calculations!AG2:AG4,Calculations!A2:A4,"Expected",Calculations!AF2:AF4,A12)</f>
        <v/>
      </c>
      <c r="D12" s="2">
        <f>SUMIFS(Calculations!T2:T4,Calculations!A2:A4,"Expected",Calculations!AF2:AF4,A12)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SUMIFS(Calculations!AH2:AH4,Calculations!A2:A4,"Expected",Calculations!AF2:AF4,A13)</f>
        <v/>
      </c>
      <c r="D13" s="2">
        <f>SUMIFS(Calculations!V2:V4,Calculations!A2:A4,"Expected",Calculations!AF2:AF4,A13)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SUMIFS(Calculations!AI2:AI4,Calculations!A2:A4,"Expected",Calculations!AF2:AF4,A14)</f>
        <v/>
      </c>
      <c r="D14" s="2">
        <f>SUMIFS(Calculations!W2:W4,Calculations!A2:A4,"Expected",Calculations!AF2:AF4,A14)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SUMIFS(Calculations!S2:S4,Calculations!A2:A4,"Expected",Calculations!AF2:AF4,A15)</f>
        <v/>
      </c>
      <c r="D15" s="2">
        <f>SUMIFS(Calculations!U2:U4,Calculations!A2:A4,"Expected",Calculations!AF2:AF4,A15)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200000</t>
        </is>
      </c>
      <c r="D2" t="inlineStr">
        <is>
          <t>1000</t>
        </is>
      </c>
      <c r="E2" t="inlineStr">
        <is>
          <t>0</t>
        </is>
      </c>
      <c r="F2" t="inlineStr">
        <is>
          <t>0.25</t>
        </is>
      </c>
      <c r="G2" t="inlineStr">
        <is>
          <t>0.25</t>
        </is>
      </c>
      <c r="H2" t="inlineStr">
        <is>
          <t>Tier Fixture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Tier Fixture</t>
        </is>
      </c>
      <c r="B2" t="inlineStr">
        <is>
          <t>Synthetic provider</t>
        </is>
      </c>
      <c r="C2" s="2" t="n">
        <v>2</v>
      </c>
      <c r="D2" s="2" t="n">
        <v>8</v>
      </c>
      <c r="E2" s="2" t="n">
        <v>0.5</v>
      </c>
      <c r="F2" s="2" t="n">
        <v>3</v>
      </c>
      <c r="G2" t="inlineStr">
        <is>
          <t>Fixed E2E fixture; not provider prices</t>
        </is>
      </c>
      <c r="H2" t="inlineStr">
        <is>
          <t>2026-01-01T00:00:00Z</t>
        </is>
      </c>
      <c r="I2" s="2" t="b">
        <v>1</v>
      </c>
      <c r="J2" t="inlineStr">
        <is>
          <t>{"above":"200000","input":"4","output":"12","cache_read":"1","cache_write":"6"}</t>
        </is>
      </c>
      <c r="K2" t="inlineStr"/>
    </row>
  </sheetData>
  <autoFilter ref="A1:K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Tier and cache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2026-10-01T19:13:38Z</dcterms:created>
  <dcterms:modified xsi:type="dcterms:W3CDTF">2026-10-01T19:13:38Z</dcterms:modified>
</cp:coreProperties>
</file>