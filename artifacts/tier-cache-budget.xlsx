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Agent links" sheetId="5" state="visible" r:id="rId5"/>
    <sheet name="Category totals" sheetId="6" state="visible" r:id="rId6"/>
    <sheet name="Category usage" sheetId="7" state="visible" r:id="rId7"/>
    <sheet name="Category costs" sheetId="8" state="visible" r:id="rId8"/>
    <sheet name="Monthly category summary" sheetId="9" state="visible" r:id="rId9"/>
    <sheet name="Profiles" sheetId="10" state="visible" r:id="rId10"/>
    <sheet name="Scenarios" sheetId="11" state="visible" r:id="rId11"/>
    <sheet name="Additional costs" sheetId="12" state="visible" r:id="rId12"/>
    <sheet name="Pricing" sheetId="13" state="visible" r:id="rId13"/>
    <sheet name="Read me" sheetId="14" state="visible" r:id="rId14"/>
  </sheets>
  <definedNames>
    <definedName name="_xlnm._FilterDatabase" localSheetId="0" hidden="1">'Summary'!$A$1:$H$4</definedName>
    <definedName name="_xlnm._FilterDatabase" localSheetId="1" hidden="1">'Calculations'!$A$1:$AI$4</definedName>
    <definedName name="_xlnm._FilterDatabase" localSheetId="2" hidden="1">'Agents'!$A$1:$N$2</definedName>
    <definedName name="_xlnm._FilterDatabase" localSheetId="3" hidden="1">'Volume'!$A$1:$L$2</definedName>
    <definedName name="_xlnm._FilterDatabase" localSheetId="4" hidden="1">'Agent links'!$A$1:$L$1</definedName>
    <definedName name="_xlnm._FilterDatabase" localSheetId="5" hidden="1">'Category totals'!$A$1:$B$4</definedName>
    <definedName name="_xlnm._FilterDatabase" localSheetId="6" hidden="1">'Category usage'!$A$1:$F$4</definedName>
    <definedName name="_xlnm._FilterDatabase" localSheetId="7" hidden="1">'Category costs'!$A$1:$I$16</definedName>
    <definedName name="_xlnm._FilterDatabase" localSheetId="8" hidden="1">'Monthly category summary'!$A$1:$H$5</definedName>
    <definedName name="_xlnm._FilterDatabase" localSheetId="9" hidden="1">'Profiles'!$A$1:$H$4</definedName>
    <definedName name="_xlnm._FilterDatabase" localSheetId="10" hidden="1">'Scenarios'!$A$1:$G$4</definedName>
    <definedName name="_xlnm._FilterDatabase" localSheetId="11" hidden="1">'Additional costs'!$A$1:$A$1</definedName>
    <definedName name="_xlnm._FilterDatabase" localSheetId="12" hidden="1">'Pricing'!$A$1:$K$2</definedName>
    <definedName name="_xlnm._FilterDatabase" localSheetId="13" hidden="1">'Read me'!$A$1:$B$17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SUM(Calculations!X2:X2)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SUM(Calculations!X3:X3)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SUM(Calculations!X4:X4)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Tiered agent</t>
        </is>
      </c>
      <c r="C2" t="inlineStr">
        <is>
          <t>Aggregate</t>
        </is>
      </c>
      <c r="D2" t="inlineStr">
        <is>
          <t>Tier Fixture</t>
        </is>
      </c>
      <c r="E2" s="2" t="n">
        <v>1</v>
      </c>
      <c r="F2" s="2">
        <f>IF(Z2="daily_users",AA2*AB2*AC2,AD2)*AE2</f>
        <v/>
      </c>
      <c r="G2" s="2" t="n">
        <v>1</v>
      </c>
      <c r="H2" s="2" t="n">
        <v>0</v>
      </c>
      <c r="I2" s="2" t="n">
        <v>150000</v>
      </c>
      <c r="J2" s="2" t="n">
        <v>750</v>
      </c>
      <c r="K2" s="2" t="n">
        <v>0.25</v>
      </c>
      <c r="L2" s="2" t="n">
        <v>0.25</v>
      </c>
      <c r="M2" s="2" t="n">
        <v>2</v>
      </c>
      <c r="N2" s="2" t="n">
        <v>8</v>
      </c>
      <c r="O2" s="2" t="n">
        <v>0.5</v>
      </c>
      <c r="P2" s="2" t="n">
        <v>3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manual</t>
        </is>
      </c>
      <c r="AC2" s="2" t="n">
        <v>30</v>
      </c>
      <c r="AD2" s="2" t="n">
        <v>10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Expected</t>
        </is>
      </c>
      <c r="B3" t="inlineStr">
        <is>
          <t>Tiered agent</t>
        </is>
      </c>
      <c r="C3" t="inlineStr">
        <is>
          <t>Aggregate</t>
        </is>
      </c>
      <c r="D3" t="inlineStr">
        <is>
          <t>Tier Fixture</t>
        </is>
      </c>
      <c r="E3" s="2" t="n">
        <v>1</v>
      </c>
      <c r="F3" s="2">
        <f>IF(Z3="daily_users",AA3*AB3*AC3,AD3)*AE3</f>
        <v/>
      </c>
      <c r="G3" s="2" t="n">
        <v>1</v>
      </c>
      <c r="H3" s="2" t="n">
        <v>0</v>
      </c>
      <c r="I3" s="2" t="n">
        <v>200000</v>
      </c>
      <c r="J3" s="2" t="n">
        <v>1000</v>
      </c>
      <c r="K3" s="2" t="n">
        <v>0.25</v>
      </c>
      <c r="L3" s="2" t="n">
        <v>0.25</v>
      </c>
      <c r="M3" s="2" t="n">
        <v>2</v>
      </c>
      <c r="N3" s="2" t="n">
        <v>8</v>
      </c>
      <c r="O3" s="2" t="n">
        <v>0.5</v>
      </c>
      <c r="P3" s="2" t="n">
        <v>3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manual</t>
        </is>
      </c>
      <c r="AC3" s="2" t="n">
        <v>30</v>
      </c>
      <c r="AD3" s="2" t="n">
        <v>10</v>
      </c>
      <c r="AE3" s="2" t="n">
        <v>1</v>
      </c>
      <c r="AF3" t="inlineStr">
        <is>
          <t>simple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High</t>
        </is>
      </c>
      <c r="B4" t="inlineStr">
        <is>
          <t>Tiered agent</t>
        </is>
      </c>
      <c r="C4" t="inlineStr">
        <is>
          <t>Aggregate</t>
        </is>
      </c>
      <c r="D4" t="inlineStr">
        <is>
          <t>Tier Fixture</t>
        </is>
      </c>
      <c r="E4" s="2" t="n">
        <v>1</v>
      </c>
      <c r="F4" s="2">
        <f>IF(Z4="daily_users",AA4*AB4*AC4,AD4)*AE4</f>
        <v/>
      </c>
      <c r="G4" s="2" t="n">
        <v>1</v>
      </c>
      <c r="H4" s="2" t="n">
        <v>0</v>
      </c>
      <c r="I4" s="2" t="n">
        <v>300000</v>
      </c>
      <c r="J4" s="2" t="n">
        <v>1500</v>
      </c>
      <c r="K4" s="2" t="n">
        <v>0.25</v>
      </c>
      <c r="L4" s="2" t="n">
        <v>0.25</v>
      </c>
      <c r="M4" s="2" t="n">
        <v>4</v>
      </c>
      <c r="N4" s="2" t="n">
        <v>12</v>
      </c>
      <c r="O4" s="2" t="n">
        <v>1</v>
      </c>
      <c r="P4" s="2" t="n">
        <v>6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manual</t>
        </is>
      </c>
      <c r="AC4" s="2" t="n">
        <v>30</v>
      </c>
      <c r="AD4" s="2" t="n">
        <v>10</v>
      </c>
      <c r="AE4" s="2" t="n">
        <v>1</v>
      </c>
      <c r="AF4" t="inlineStr">
        <is>
          <t>simple</t>
        </is>
      </c>
      <c r="AG4" s="2">
        <f>R4*(1-K4-L4)</f>
        <v/>
      </c>
      <c r="AH4" s="2">
        <f>R4*K4</f>
        <v/>
      </c>
      <c r="AI4" s="2">
        <f>R4*L4</f>
        <v/>
      </c>
    </row>
  </sheetData>
  <autoFilter ref="A1:AI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Tiered agent</t>
        </is>
      </c>
      <c r="B2" t="inlineStr">
        <is>
          <t>simple</t>
        </is>
      </c>
      <c r="C2" s="2" t="n">
        <v>1</v>
      </c>
      <c r="D2" s="2" t="n">
        <v>10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manual</t>
        </is>
      </c>
    </row>
  </sheetData>
  <autoFilter ref="A1:N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  <col width="16" customWidth="1" min="11" max="11"/>
    <col width="32" customWidth="1" min="12" max="12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  <c r="K1" s="1" t="inlineStr">
        <is>
          <t>Agent row ID</t>
        </is>
      </c>
      <c r="L1" s="1" t="inlineStr">
        <is>
          <t>Previous direct volume source</t>
        </is>
      </c>
    </row>
    <row r="2">
      <c r="A2" t="inlineStr">
        <is>
          <t>Tiered agent</t>
        </is>
      </c>
      <c r="B2" t="inlineStr">
        <is>
          <t>simple</t>
        </is>
      </c>
      <c r="C2" s="2" t="n">
        <v>1</v>
      </c>
      <c r="D2" t="inlineStr">
        <is>
          <t>manual</t>
        </is>
      </c>
      <c r="G2" s="2" t="n">
        <v>30</v>
      </c>
      <c r="H2" s="2" t="n">
        <v>10</v>
      </c>
      <c r="I2" s="2">
        <f>IF(D2="daily_users",E2*F2*G2,H2)</f>
        <v/>
      </c>
      <c r="J2" s="2">
        <f>C2*I2</f>
        <v/>
      </c>
      <c r="K2" t="inlineStr">
        <is>
          <t>tier-agent</t>
        </is>
      </c>
    </row>
  </sheetData>
  <autoFilter ref="A1:L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0" customWidth="1" min="3" max="3"/>
    <col width="16" customWidth="1" min="4" max="4"/>
    <col width="22" customWidth="1" min="5" max="5"/>
    <col width="32" customWidth="1" min="6" max="6"/>
    <col width="41" customWidth="1" min="7" max="7"/>
    <col width="2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2" customHeight="1">
      <c r="A1" s="1" t="inlineStr">
        <is>
          <t>Scenario</t>
        </is>
      </c>
      <c r="B1" s="1" t="inlineStr">
        <is>
          <t>Parent agent/group</t>
        </is>
      </c>
      <c r="C1" s="1" t="inlineStr">
        <is>
          <t>Child agent/group</t>
        </is>
      </c>
      <c r="D1" s="1" t="inlineStr">
        <is>
          <t>Branch group</t>
        </is>
      </c>
      <c r="E1" s="1" t="inlineStr">
        <is>
          <t>Trigger probability</t>
        </is>
      </c>
      <c r="F1" s="1" t="inlineStr">
        <is>
          <t>Child invocations per trigger</t>
        </is>
      </c>
      <c r="G1" s="1" t="inlineStr">
        <is>
          <t>Parent invocations/month (precomputed)</t>
        </is>
      </c>
      <c r="H1" s="1" t="inlineStr">
        <is>
          <t>Child invocations/month</t>
        </is>
      </c>
      <c r="I1" s="1" t="inlineStr">
        <is>
          <t>Status</t>
        </is>
      </c>
      <c r="J1" s="1" t="inlineStr">
        <is>
          <t>Link ID</t>
        </is>
      </c>
      <c r="K1" s="1" t="inlineStr">
        <is>
          <t>Parent row ID</t>
        </is>
      </c>
      <c r="L1" s="1" t="inlineStr">
        <is>
          <t>Child row ID</t>
        </is>
      </c>
    </row>
  </sheetData>
  <autoFilter ref="A1:L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SUMIF(Volume!B2:B2,A2,Volume!J2:J2)</f>
        <v/>
      </c>
    </row>
    <row r="3">
      <c r="A3" t="inlineStr">
        <is>
          <t>medium</t>
        </is>
      </c>
      <c r="B3" s="2">
        <f>SUMIF(Volume!B2:B2,A3,Volume!J2:J2)</f>
        <v/>
      </c>
    </row>
    <row r="4">
      <c r="A4" t="inlineStr">
        <is>
          <t>high</t>
        </is>
      </c>
      <c r="B4" s="2">
        <f>SUMIF(Volume!B2:B2,A4,Volume!J2:J2)</f>
        <v/>
      </c>
    </row>
  </sheetData>
  <autoFilter ref="A1:B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SUMIFS(Calculations!R2:R4,Calculations!A2:A4,"Expected",Calculations!AF2:AF4,A2)</f>
        <v/>
      </c>
      <c r="C2" s="2">
        <f>SUMIFS(Calculations!S2:S4,Calculations!A2:A4,"Expected",Calculations!AF2:AF4,A2)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SUMIFS(Calculations!R2:R4,Calculations!A2:A4,"Expected",Calculations!AF2:AF4,A3)</f>
        <v/>
      </c>
      <c r="C3" s="2">
        <f>SUMIFS(Calculations!S2:S4,Calculations!A2:A4,"Expected",Calculations!AF2:AF4,A3)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SUMIFS(Calculations!R2:R4,Calculations!A2:A4,"Expected",Calculations!AF2:AF4,A4)</f>
        <v/>
      </c>
      <c r="C4" s="2">
        <f>SUMIFS(Calculations!S2:S4,Calculations!A2:A4,"Expected",Calculations!AF2:AF4,A4)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SUMIFS(Calculations!AG2:AG4,Calculations!A2:A4,"Expected",Calculations!AF2:AF4,A2)</f>
        <v/>
      </c>
      <c r="D2" s="2">
        <f>SUMIFS(Calculations!T2:T4,Calculations!A2:A4,"Expected",Calculations!AF2:AF4,A2)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SUMIFS(Calculations!AH2:AH4,Calculations!A2:A4,"Expected",Calculations!AF2:AF4,A3)</f>
        <v/>
      </c>
      <c r="D3" s="2">
        <f>SUMIFS(Calculations!V2:V4,Calculations!A2:A4,"Expected",Calculations!AF2:AF4,A3)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SUMIFS(Calculations!AI2:AI4,Calculations!A2:A4,"Expected",Calculations!AF2:AF4,A4)</f>
        <v/>
      </c>
      <c r="D4" s="2">
        <f>SUMIFS(Calculations!W2:W4,Calculations!A2:A4,"Expected",Calculations!AF2:AF4,A4)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SUMIFS(Calculations!S2:S4,Calculations!A2:A4,"Expected",Calculations!AF2:AF4,A5)</f>
        <v/>
      </c>
      <c r="D5" s="2">
        <f>SUMIFS(Calculations!U2:U4,Calculations!A2:A4,"Expected",Calculations!AF2:AF4,A5)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SUMIFS(Calculations!AG2:AG4,Calculations!A2:A4,"Expected",Calculations!AF2:AF4,A7)</f>
        <v/>
      </c>
      <c r="D7" s="2">
        <f>SUMIFS(Calculations!T2:T4,Calculations!A2:A4,"Expected",Calculations!AF2:AF4,A7)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SUMIFS(Calculations!AH2:AH4,Calculations!A2:A4,"Expected",Calculations!AF2:AF4,A8)</f>
        <v/>
      </c>
      <c r="D8" s="2">
        <f>SUMIFS(Calculations!V2:V4,Calculations!A2:A4,"Expected",Calculations!AF2:AF4,A8)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SUMIFS(Calculations!AI2:AI4,Calculations!A2:A4,"Expected",Calculations!AF2:AF4,A9)</f>
        <v/>
      </c>
      <c r="D9" s="2">
        <f>SUMIFS(Calculations!W2:W4,Calculations!A2:A4,"Expected",Calculations!AF2:AF4,A9)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SUMIFS(Calculations!S2:S4,Calculations!A2:A4,"Expected",Calculations!AF2:AF4,A10)</f>
        <v/>
      </c>
      <c r="D10" s="2">
        <f>SUMIFS(Calculations!U2:U4,Calculations!A2:A4,"Expected",Calculations!AF2:AF4,A10)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SUMIFS(Calculations!AG2:AG4,Calculations!A2:A4,"Expected",Calculations!AF2:AF4,A12)</f>
        <v/>
      </c>
      <c r="D12" s="2">
        <f>SUMIFS(Calculations!T2:T4,Calculations!A2:A4,"Expected",Calculations!AF2:AF4,A12)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SUMIFS(Calculations!AH2:AH4,Calculations!A2:A4,"Expected",Calculations!AF2:AF4,A13)</f>
        <v/>
      </c>
      <c r="D13" s="2">
        <f>SUMIFS(Calculations!V2:V4,Calculations!A2:A4,"Expected",Calculations!AF2:AF4,A13)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SUMIFS(Calculations!AI2:AI4,Calculations!A2:A4,"Expected",Calculations!AF2:AF4,A14)</f>
        <v/>
      </c>
      <c r="D14" s="2">
        <f>SUMIFS(Calculations!W2:W4,Calculations!A2:A4,"Expected",Calculations!AF2:AF4,A14)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SUMIFS(Calculations!S2:S4,Calculations!A2:A4,"Expected",Calculations!AF2:AF4,A15)</f>
        <v/>
      </c>
      <c r="D15" s="2">
        <f>SUMIFS(Calculations!U2:U4,Calculations!A2:A4,"Expected",Calculations!AF2:AF4,A15)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200000</t>
        </is>
      </c>
      <c r="D2" t="inlineStr">
        <is>
          <t>1000</t>
        </is>
      </c>
      <c r="E2" t="inlineStr">
        <is>
          <t>0</t>
        </is>
      </c>
      <c r="F2" t="inlineStr">
        <is>
          <t>0.25</t>
        </is>
      </c>
      <c r="G2" t="inlineStr">
        <is>
          <t>0.25</t>
        </is>
      </c>
      <c r="H2" t="inlineStr">
        <is>
          <t>Tier Fixture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Tier Fixture</t>
        </is>
      </c>
      <c r="B2" t="inlineStr">
        <is>
          <t>Synthetic provider</t>
        </is>
      </c>
      <c r="C2" s="2" t="n">
        <v>2</v>
      </c>
      <c r="D2" s="2" t="n">
        <v>8</v>
      </c>
      <c r="E2" s="2" t="n">
        <v>0.5</v>
      </c>
      <c r="F2" s="2" t="n">
        <v>3</v>
      </c>
      <c r="G2" t="inlineStr">
        <is>
          <t>Fixed E2E fixture; not provider prices</t>
        </is>
      </c>
      <c r="H2" t="inlineStr">
        <is>
          <t>2026-01-01T00:00:00Z</t>
        </is>
      </c>
      <c r="I2" s="2" t="b">
        <v>1</v>
      </c>
      <c r="J2" t="inlineStr">
        <is>
          <t>{"above":"200000","input":"4","output":"12","cache_read":"1","cache_write":"6"}</t>
        </is>
      </c>
      <c r="K2" t="inlineStr"/>
    </row>
  </sheetData>
  <autoFilter ref="A1:K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Tier and cache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For direct-volume rows, column F derives scenario monthly volume from columns Z–AE using a 30-day planning month. For derived rows, column F is the graph result precomputed by the app; edit links or upstream volume in the app and re-export.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direct baseline invocations and records app-precomputed derived invocations. Category totals sums the Volume sheet by complexity. These totals exclude scenario volume multipliers; Calculations contains scenario-effective volumes.</t>
        </is>
      </c>
    </row>
    <row r="7">
      <c r="A7" t="inlineStr">
        <is>
          <t>Agent links</t>
        </is>
      </c>
      <c r="B7" t="inlineStr">
        <is>
          <t>Agent links shows effective Low/Expected/High probability, fanout, and child contributions. Parent totals are precomputed in topological order by the app; changing edges or parent totals in this workbook does not update derived rows in Calculations or Volume. Re-export from the app for a revised graph. Derived rows in Agents cannot be reimported without rebuilding links in the app.</t>
        </is>
      </c>
    </row>
    <row r="8">
      <c r="A8" t="inlineStr">
        <is>
          <t>Category token usage</t>
        </is>
      </c>
      <c r="B8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9">
      <c r="A9" t="inlineStr">
        <is>
          <t>Category token costs</t>
        </is>
      </c>
      <c r="B9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10">
      <c r="A10" t="inlineStr">
        <is>
          <t>Monthly category summary</t>
        </is>
      </c>
      <c r="B10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1">
      <c r="A11" t="inlineStr">
        <is>
          <t>Tier rates</t>
        </is>
      </c>
      <c r="B11" t="inlineStr">
        <is>
          <t>Rates in Calculations are selected using the exported per-call input size. After crossing a tier threshold, update the applicable rates from Pricing or re-export from the app.</t>
        </is>
      </c>
    </row>
    <row r="12">
      <c r="A12" t="inlineStr">
        <is>
          <t>Partial totals</t>
        </is>
      </c>
      <c r="B12" t="inlineStr">
        <is>
          <t>Incomplete rows have blank costs; summaries are known subtotals, not full budgets.</t>
        </is>
      </c>
    </row>
    <row r="13">
      <c r="A13" t="inlineStr">
        <is>
          <t>Annualization</t>
        </is>
      </c>
      <c r="B13" t="inlineStr">
        <is>
          <t>First year = 12 identical recurring months + one-time items. Additional monthly/one-time values in Summary are editable frozen inputs.</t>
        </is>
      </c>
    </row>
    <row r="14">
      <c r="A14" t="inlineStr">
        <is>
          <t>Scope</t>
        </is>
      </c>
      <c r="B14" t="inlineStr">
        <is>
          <t>Text tokens, including total billable reasoning in output. Cache writes use supplied rates. Tools, cache storage, multimodal charges require additional items/custom rates.</t>
        </is>
      </c>
    </row>
    <row r="15">
      <c r="A15" t="inlineStr">
        <is>
          <t>Scenarios</t>
        </is>
      </c>
      <c r="B15" t="inlineStr">
        <is>
          <t>Planning assumptions, not statistical confidence intervals. Execution fields in Calculations are scenario-effective values.</t>
        </is>
      </c>
    </row>
    <row r="16">
      <c r="A16" t="inlineStr">
        <is>
          <t>Detailed workflows</t>
        </is>
      </c>
      <c r="B16" t="inlineStr">
        <is>
          <t>Each step appears in Calculations and replaces the aggregate. The Agents sheet is an aggregate import template, not a lossless backup of detailed steps.</t>
        </is>
      </c>
    </row>
    <row r="17">
      <c r="A17" t="inlineStr">
        <is>
          <t>Version</t>
        </is>
      </c>
      <c r="B17" t="inlineStr">
        <is>
          <t>Schema 3; defaults 1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2026-10-02T20:28:48Z</dcterms:created>
  <dcterms:modified xsi:type="dcterms:W3CDTF">2026-10-02T20:28:48Z</dcterms:modified>
</cp:coreProperties>
</file>