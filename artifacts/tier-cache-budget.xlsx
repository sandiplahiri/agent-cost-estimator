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Profiles" sheetId="8" state="visible" r:id="rId8"/>
    <sheet name="Scenarios" sheetId="9" state="visible" r:id="rId9"/>
    <sheet name="Additional costs" sheetId="10" state="visible" r:id="rId10"/>
    <sheet name="Pricing" sheetId="11" state="visible" r:id="rId11"/>
    <sheet name="Read me" sheetId="12" state="visible" r:id="rId12"/>
  </sheets>
  <definedNames>
    <definedName name="_xlnm._FilterDatabase" localSheetId="0" hidden="1">'Summary'!$A$1:$H$4</definedName>
    <definedName name="_xlnm._FilterDatabase" localSheetId="1" hidden="1">'Calculations'!$A$1:$AI$4</definedName>
    <definedName name="_xlnm._FilterDatabase" localSheetId="2" hidden="1">'Agents'!$A$1:$N$2</definedName>
    <definedName name="_xlnm._FilterDatabase" localSheetId="3" hidden="1">'Volume'!$A$1:$J$2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costs'!$A$1:$F$16</definedName>
    <definedName name="_xlnm._FilterDatabase" localSheetId="7" hidden="1">'Profiles'!$A$1:$H$4</definedName>
    <definedName name="_xlnm._FilterDatabase" localSheetId="8" hidden="1">'Scenarios'!$A$1:$G$4</definedName>
    <definedName name="_xlnm._FilterDatabase" localSheetId="9" hidden="1">'Additional costs'!$A$1:$A$1</definedName>
    <definedName name="_xlnm._FilterDatabase" localSheetId="10" hidden="1">'Pricing'!$A$1:$K$2</definedName>
    <definedName name="_xlnm._FilterDatabase" localSheetId="11" hidden="1">'Read me'!$A$1:$B$15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SUM(Calculations!X2:X2)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SUM(Calculations!X3:X3)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SUM(Calculations!X4:X4)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Tiered agent</t>
        </is>
      </c>
      <c r="C2" t="inlineStr">
        <is>
          <t>Aggregate</t>
        </is>
      </c>
      <c r="D2" t="inlineStr">
        <is>
          <t>Tier Fixture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</v>
      </c>
      <c r="I2" s="2" t="n">
        <v>150000</v>
      </c>
      <c r="J2" s="2" t="n">
        <v>750</v>
      </c>
      <c r="K2" s="2" t="n">
        <v>0.25</v>
      </c>
      <c r="L2" s="2" t="n">
        <v>0.25</v>
      </c>
      <c r="M2" s="2" t="n">
        <v>2</v>
      </c>
      <c r="N2" s="2" t="n">
        <v>8</v>
      </c>
      <c r="O2" s="2" t="n">
        <v>0.5</v>
      </c>
      <c r="P2" s="2" t="n">
        <v>3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manual</t>
        </is>
      </c>
      <c r="AC2" s="2" t="n">
        <v>30</v>
      </c>
      <c r="AD2" s="2" t="n">
        <v>10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Expected</t>
        </is>
      </c>
      <c r="B3" t="inlineStr">
        <is>
          <t>Tiered agent</t>
        </is>
      </c>
      <c r="C3" t="inlineStr">
        <is>
          <t>Aggregate</t>
        </is>
      </c>
      <c r="D3" t="inlineStr">
        <is>
          <t>Tier Fixture</t>
        </is>
      </c>
      <c r="E3" s="2" t="n">
        <v>1</v>
      </c>
      <c r="F3" s="2">
        <f>IF(Z3="daily_users",AA3*AB3*AC3,AD3)*AE3</f>
        <v/>
      </c>
      <c r="G3" s="2" t="n">
        <v>1</v>
      </c>
      <c r="H3" s="2" t="n">
        <v>0</v>
      </c>
      <c r="I3" s="2" t="n">
        <v>200000</v>
      </c>
      <c r="J3" s="2" t="n">
        <v>1000</v>
      </c>
      <c r="K3" s="2" t="n">
        <v>0.25</v>
      </c>
      <c r="L3" s="2" t="n">
        <v>0.25</v>
      </c>
      <c r="M3" s="2" t="n">
        <v>2</v>
      </c>
      <c r="N3" s="2" t="n">
        <v>8</v>
      </c>
      <c r="O3" s="2" t="n">
        <v>0.5</v>
      </c>
      <c r="P3" s="2" t="n">
        <v>3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manual</t>
        </is>
      </c>
      <c r="AC3" s="2" t="n">
        <v>30</v>
      </c>
      <c r="AD3" s="2" t="n">
        <v>10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High</t>
        </is>
      </c>
      <c r="B4" t="inlineStr">
        <is>
          <t>Tiered agent</t>
        </is>
      </c>
      <c r="C4" t="inlineStr">
        <is>
          <t>Aggregate</t>
        </is>
      </c>
      <c r="D4" t="inlineStr">
        <is>
          <t>Tier Fixture</t>
        </is>
      </c>
      <c r="E4" s="2" t="n">
        <v>1</v>
      </c>
      <c r="F4" s="2">
        <f>IF(Z4="daily_users",AA4*AB4*AC4,AD4)*AE4</f>
        <v/>
      </c>
      <c r="G4" s="2" t="n">
        <v>1</v>
      </c>
      <c r="H4" s="2" t="n">
        <v>0</v>
      </c>
      <c r="I4" s="2" t="n">
        <v>300000</v>
      </c>
      <c r="J4" s="2" t="n">
        <v>1500</v>
      </c>
      <c r="K4" s="2" t="n">
        <v>0.25</v>
      </c>
      <c r="L4" s="2" t="n">
        <v>0.25</v>
      </c>
      <c r="M4" s="2" t="n">
        <v>4</v>
      </c>
      <c r="N4" s="2" t="n">
        <v>12</v>
      </c>
      <c r="O4" s="2" t="n">
        <v>1</v>
      </c>
      <c r="P4" s="2" t="n">
        <v>6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manual</t>
        </is>
      </c>
      <c r="AC4" s="2" t="n">
        <v>30</v>
      </c>
      <c r="AD4" s="2" t="n">
        <v>10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</row>
  </sheetData>
  <autoFilter ref="A1:A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Tiered agent</t>
        </is>
      </c>
      <c r="B2" t="inlineStr">
        <is>
          <t>simple</t>
        </is>
      </c>
      <c r="C2" s="2" t="n">
        <v>1</v>
      </c>
      <c r="D2" s="2" t="n">
        <v>10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manual</t>
        </is>
      </c>
    </row>
  </sheetData>
  <autoFilter ref="A1:N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Tiered agent</t>
        </is>
      </c>
      <c r="B2" t="inlineStr">
        <is>
          <t>simple</t>
        </is>
      </c>
      <c r="C2" s="2" t="n">
        <v>1</v>
      </c>
      <c r="D2" t="inlineStr">
        <is>
          <t>manual</t>
        </is>
      </c>
      <c r="G2" s="2" t="n">
        <v>30</v>
      </c>
      <c r="H2" s="2" t="n">
        <v>10</v>
      </c>
      <c r="I2" s="2">
        <f>IF(D2="daily_users",E2*F2*G2,H2)</f>
        <v/>
      </c>
      <c r="J2" s="2">
        <f>C2*I2</f>
        <v/>
      </c>
    </row>
  </sheetData>
  <autoFilter ref="A1:J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SUMIF(Volume!B2:B2,A2,Volume!J2:J2)</f>
        <v/>
      </c>
    </row>
    <row r="3">
      <c r="A3" t="inlineStr">
        <is>
          <t>medium</t>
        </is>
      </c>
      <c r="B3" s="2">
        <f>SUMIF(Volume!B2:B2,A3,Volume!J2:J2)</f>
        <v/>
      </c>
    </row>
    <row r="4">
      <c r="A4" t="inlineStr">
        <is>
          <t>high</t>
        </is>
      </c>
      <c r="B4" s="2">
        <f>SUMIF(Volume!B2:B2,A4,Volume!J2:J2)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SUMIFS(Calculations!R2:R4,Calculations!A2:A4,"Expected",Calculations!AF2:AF4,A2)</f>
        <v/>
      </c>
      <c r="C2" s="2">
        <f>SUMIFS(Calculations!S2:S4,Calculations!A2:A4,"Expected",Calculations!AF2:AF4,A2)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SUMIFS(Calculations!R2:R4,Calculations!A2:A4,"Expected",Calculations!AF2:AF4,A3)</f>
        <v/>
      </c>
      <c r="C3" s="2">
        <f>SUMIFS(Calculations!S2:S4,Calculations!A2:A4,"Expected",Calculations!AF2:AF4,A3)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SUMIFS(Calculations!R2:R4,Calculations!A2:A4,"Expected",Calculations!AF2:AF4,A4)</f>
        <v/>
      </c>
      <c r="C4" s="2">
        <f>SUMIFS(Calculations!S2:S4,Calculations!A2:A4,"Expected",Calculations!AF2:AF4,A4)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SUMIFS(Calculations!AG2:AG4,Calculations!A2:A4,"Expected",Calculations!AF2:AF4,A2)</f>
        <v/>
      </c>
      <c r="D2" s="2">
        <f>SUMIFS(Calculations!T2:T4,Calculations!A2:A4,"Expected",Calculations!AF2:AF4,A2)</f>
        <v/>
      </c>
      <c r="E2" s="2">
        <f>IF(C2=0,"",D2*1000000/C2)</f>
        <v/>
      </c>
      <c r="F2" t="inlineStr">
        <is>
          <t>Complete</t>
        </is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SUMIFS(Calculations!AH2:AH4,Calculations!A2:A4,"Expected",Calculations!AF2:AF4,A3)</f>
        <v/>
      </c>
      <c r="D3" s="2">
        <f>SUMIFS(Calculations!V2:V4,Calculations!A2:A4,"Expected",Calculations!AF2:AF4,A3)</f>
        <v/>
      </c>
      <c r="E3" s="2">
        <f>IF(C3=0,"",D3*1000000/C3)</f>
        <v/>
      </c>
      <c r="F3" t="inlineStr">
        <is>
          <t>Complete</t>
        </is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SUMIFS(Calculations!AI2:AI4,Calculations!A2:A4,"Expected",Calculations!AF2:AF4,A4)</f>
        <v/>
      </c>
      <c r="D4" s="2">
        <f>SUMIFS(Calculations!W2:W4,Calculations!A2:A4,"Expected",Calculations!AF2:AF4,A4)</f>
        <v/>
      </c>
      <c r="E4" s="2">
        <f>IF(C4=0,"",D4*1000000/C4)</f>
        <v/>
      </c>
      <c r="F4" t="inlineStr">
        <is>
          <t>Complete</t>
        </is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SUMIFS(Calculations!S2:S4,Calculations!A2:A4,"Expected",Calculations!AF2:AF4,A5)</f>
        <v/>
      </c>
      <c r="D5" s="2">
        <f>SUMIFS(Calculations!U2:U4,Calculations!A2:A4,"Expected",Calculations!AF2:AF4,A5)</f>
        <v/>
      </c>
      <c r="E5" s="2">
        <f>IF(C5=0,"",D5*1000000/C5)</f>
        <v/>
      </c>
      <c r="F5" t="inlineStr">
        <is>
          <t>Complete</t>
        </is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SUMIFS(Calculations!AG2:AG4,Calculations!A2:A4,"Expected",Calculations!AF2:AF4,A7)</f>
        <v/>
      </c>
      <c r="D7" s="2">
        <f>SUMIFS(Calculations!T2:T4,Calculations!A2:A4,"Expected",Calculations!AF2:AF4,A7)</f>
        <v/>
      </c>
      <c r="E7" s="2">
        <f>IF(C7=0,"",D7*1000000/C7)</f>
        <v/>
      </c>
      <c r="F7" t="inlineStr">
        <is>
          <t>Complete</t>
        </is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SUMIFS(Calculations!AH2:AH4,Calculations!A2:A4,"Expected",Calculations!AF2:AF4,A8)</f>
        <v/>
      </c>
      <c r="D8" s="2">
        <f>SUMIFS(Calculations!V2:V4,Calculations!A2:A4,"Expected",Calculations!AF2:AF4,A8)</f>
        <v/>
      </c>
      <c r="E8" s="2">
        <f>IF(C8=0,"",D8*1000000/C8)</f>
        <v/>
      </c>
      <c r="F8" t="inlineStr">
        <is>
          <t>Complete</t>
        </is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SUMIFS(Calculations!AI2:AI4,Calculations!A2:A4,"Expected",Calculations!AF2:AF4,A9)</f>
        <v/>
      </c>
      <c r="D9" s="2">
        <f>SUMIFS(Calculations!W2:W4,Calculations!A2:A4,"Expected",Calculations!AF2:AF4,A9)</f>
        <v/>
      </c>
      <c r="E9" s="2">
        <f>IF(C9=0,"",D9*1000000/C9)</f>
        <v/>
      </c>
      <c r="F9" t="inlineStr">
        <is>
          <t>Complete</t>
        </is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SUMIFS(Calculations!S2:S4,Calculations!A2:A4,"Expected",Calculations!AF2:AF4,A10)</f>
        <v/>
      </c>
      <c r="D10" s="2">
        <f>SUMIFS(Calculations!U2:U4,Calculations!A2:A4,"Expected",Calculations!AF2:AF4,A10)</f>
        <v/>
      </c>
      <c r="E10" s="2">
        <f>IF(C10=0,"",D10*1000000/C10)</f>
        <v/>
      </c>
      <c r="F10" t="inlineStr">
        <is>
          <t>Complete</t>
        </is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SUMIFS(Calculations!AG2:AG4,Calculations!A2:A4,"Expected",Calculations!AF2:AF4,A12)</f>
        <v/>
      </c>
      <c r="D12" s="2">
        <f>SUMIFS(Calculations!T2:T4,Calculations!A2:A4,"Expected",Calculations!AF2:AF4,A12)</f>
        <v/>
      </c>
      <c r="E12" s="2">
        <f>IF(C12=0,"",D12*1000000/C12)</f>
        <v/>
      </c>
      <c r="F12" t="inlineStr">
        <is>
          <t>Complete</t>
        </is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SUMIFS(Calculations!AH2:AH4,Calculations!A2:A4,"Expected",Calculations!AF2:AF4,A13)</f>
        <v/>
      </c>
      <c r="D13" s="2">
        <f>SUMIFS(Calculations!V2:V4,Calculations!A2:A4,"Expected",Calculations!AF2:AF4,A13)</f>
        <v/>
      </c>
      <c r="E13" s="2">
        <f>IF(C13=0,"",D13*1000000/C13)</f>
        <v/>
      </c>
      <c r="F13" t="inlineStr">
        <is>
          <t>Complete</t>
        </is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SUMIFS(Calculations!AI2:AI4,Calculations!A2:A4,"Expected",Calculations!AF2:AF4,A14)</f>
        <v/>
      </c>
      <c r="D14" s="2">
        <f>SUMIFS(Calculations!W2:W4,Calculations!A2:A4,"Expected",Calculations!AF2:AF4,A14)</f>
        <v/>
      </c>
      <c r="E14" s="2">
        <f>IF(C14=0,"",D14*1000000/C14)</f>
        <v/>
      </c>
      <c r="F14" t="inlineStr">
        <is>
          <t>Complete</t>
        </is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SUMIFS(Calculations!S2:S4,Calculations!A2:A4,"Expected",Calculations!AF2:AF4,A15)</f>
        <v/>
      </c>
      <c r="D15" s="2">
        <f>SUMIFS(Calculations!U2:U4,Calculations!A2:A4,"Expected",Calculations!AF2:AF4,A15)</f>
        <v/>
      </c>
      <c r="E15" s="2">
        <f>IF(C15=0,"",D15*1000000/C15)</f>
        <v/>
      </c>
      <c r="F15" t="inlineStr">
        <is>
          <t>Complete</t>
        </is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</row>
  </sheetData>
  <autoFilter ref="A1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200000</t>
        </is>
      </c>
      <c r="D2" t="inlineStr">
        <is>
          <t>1000</t>
        </is>
      </c>
      <c r="E2" t="inlineStr">
        <is>
          <t>0</t>
        </is>
      </c>
      <c r="F2" t="inlineStr">
        <is>
          <t>0.25</t>
        </is>
      </c>
      <c r="G2" t="inlineStr">
        <is>
          <t>0.25</t>
        </is>
      </c>
      <c r="H2" t="inlineStr">
        <is>
          <t>Tier Fixture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Tier Fixture</t>
        </is>
      </c>
      <c r="B2" t="inlineStr">
        <is>
          <t>Synthetic provider</t>
        </is>
      </c>
      <c r="C2" s="2" t="n">
        <v>2</v>
      </c>
      <c r="D2" s="2" t="n">
        <v>8</v>
      </c>
      <c r="E2" s="2" t="n">
        <v>0.5</v>
      </c>
      <c r="F2" s="2" t="n">
        <v>3</v>
      </c>
      <c r="G2" t="inlineStr">
        <is>
          <t>Fixed E2E fixture; not provider prices</t>
        </is>
      </c>
      <c r="H2" t="inlineStr">
        <is>
          <t>2026-01-01T00:00:00Z</t>
        </is>
      </c>
      <c r="I2" s="2" t="b">
        <v>1</v>
      </c>
      <c r="J2" t="inlineStr">
        <is>
          <t>{"above":"200000","input":"4","output":"12","cache_read":"1","cache_write":"6"}</t>
        </is>
      </c>
      <c r="K2" t="inlineStr"/>
    </row>
  </sheetData>
  <autoFilter ref="A1:K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Tier and cache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costs sum the corresponding Calculations formulas.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Tier rates</t>
        </is>
      </c>
      <c r="B9" t="inlineStr">
        <is>
          <t>Rates in Calculations are selected using the exported per-call input size. After crossing a tier threshold, update the applicable rates from Pricing or re-export from the app.</t>
        </is>
      </c>
    </row>
    <row r="10">
      <c r="A10" t="inlineStr">
        <is>
          <t>Partial totals</t>
        </is>
      </c>
      <c r="B10" t="inlineStr">
        <is>
          <t>Incomplete rows have blank costs; summaries are known subtotals, not full budgets.</t>
        </is>
      </c>
    </row>
    <row r="11">
      <c r="A11" t="inlineStr">
        <is>
          <t>Annualization</t>
        </is>
      </c>
      <c r="B11" t="inlineStr">
        <is>
          <t>First year = 12 identical recurring months + one-time items. Additional monthly/one-time values in Summary are editable frozen inputs.</t>
        </is>
      </c>
    </row>
    <row r="12">
      <c r="A12" t="inlineStr">
        <is>
          <t>Scope</t>
        </is>
      </c>
      <c r="B12" t="inlineStr">
        <is>
          <t>Text tokens, including total billable reasoning in output. Cache writes use supplied rates. Tools, cache storage, multimodal charges require additional items/custom rates.</t>
        </is>
      </c>
    </row>
    <row r="13">
      <c r="A13" t="inlineStr">
        <is>
          <t>Scenarios</t>
        </is>
      </c>
      <c r="B13" t="inlineStr">
        <is>
          <t>Planning assumptions, not statistical confidence intervals. Execution fields in Calculations are scenario-effective values.</t>
        </is>
      </c>
    </row>
    <row r="14">
      <c r="A14" t="inlineStr">
        <is>
          <t>Detailed workflows</t>
        </is>
      </c>
      <c r="B14" t="inlineStr">
        <is>
          <t>Each step appears in Calculations and replaces the aggregate. The Agents sheet is an aggregate import template, not a lossless backup of detailed steps.</t>
        </is>
      </c>
    </row>
    <row r="15">
      <c r="A15" t="inlineStr">
        <is>
          <t>Version</t>
        </is>
      </c>
      <c r="B15" t="inlineStr">
        <is>
          <t>Schema 2; defaults 1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2026-10-01T18:21:01Z</dcterms:created>
  <dcterms:modified xsi:type="dcterms:W3CDTF">2026-10-01T18:21:01Z</dcterms:modified>
</cp:coreProperties>
</file>