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'Calculations'!$A$1:$AM$19</definedName>
    <definedName name="_xlnm._FilterDatabase" localSheetId="2" hidden="1">'Agents'!$A$1:$Q$7</definedName>
    <definedName name="_xlnm._FilterDatabase" localSheetId="3" hidden="1">'Step options'!$A$1:$U$11</definedName>
    <definedName name="_xlnm._FilterDatabase" localSheetId="4" hidden="1">'Step actions'!$A$1:$L$31</definedName>
    <definedName name="_xlnm._FilterDatabase" localSheetId="5" hidden="1">'Agent identities'!$A$1:$E$7</definedName>
    <definedName name="_xlnm._FilterDatabase" localSheetId="6" hidden="1">'Volume'!$A$1:$L$7</definedName>
    <definedName name="_xlnm._FilterDatabase" localSheetId="7" hidden="1">'Agent links'!$A$1:$L$13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cases'!$A$1:$I$19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'Pricing'!$A$1:$R$2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SUM(Calculations!X2:X7)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SUM(Calculations!X8:X13)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SUM(Calculations!X14:X19)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Main step</t>
        </is>
      </c>
      <c r="D2" t="inlineStr">
        <is>
          <t>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roots-model</t>
        </is>
      </c>
      <c r="AM2" t="inlineStr"/>
    </row>
    <row r="3">
      <c r="A3" t="inlineStr">
        <is>
          <t>Low</t>
        </is>
      </c>
      <c r="B3" t="inlineStr">
        <is>
          <t>Dana</t>
        </is>
      </c>
      <c r="C3" t="inlineStr">
        <is>
          <t>Main step</t>
        </is>
      </c>
      <c r="D3" t="inlineStr">
        <is>
          <t>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workers-model</t>
        </is>
      </c>
      <c r="AM3" t="inlineStr"/>
    </row>
    <row r="4">
      <c r="A4" t="inlineStr">
        <is>
          <t>Low</t>
        </is>
      </c>
      <c r="B4" t="inlineStr">
        <is>
          <t>Cara</t>
        </is>
      </c>
      <c r="C4" t="inlineStr">
        <is>
          <t>Main step</t>
        </is>
      </c>
      <c r="D4" t="inlineStr">
        <is>
          <t>A</t>
        </is>
      </c>
      <c r="E4" s="2" t="n">
        <v>1</v>
      </c>
      <c r="F4" s="2" t="n">
        <v>300</v>
      </c>
      <c r="G4" s="2">
        <f>AJ4*AK4</f>
        <v/>
      </c>
      <c r="H4" s="2" t="n">
        <v>0</v>
      </c>
      <c r="I4" s="2" t="n">
        <v>1500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1</v>
      </c>
      <c r="AB4" s="2" t="n">
        <v>1</v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529fcf09-79da-5a19-ac81-5a97fbb358dd</t>
        </is>
      </c>
      <c r="AM4" t="inlineStr"/>
    </row>
    <row r="5">
      <c r="A5" t="inlineStr">
        <is>
          <t>Low</t>
        </is>
      </c>
      <c r="B5" t="inlineStr">
        <is>
          <t>Alice</t>
        </is>
      </c>
      <c r="C5" t="inlineStr">
        <is>
          <t>Main step</t>
        </is>
      </c>
      <c r="D5" t="inlineStr">
        <is>
          <t>A</t>
        </is>
      </c>
      <c r="E5" s="2" t="n">
        <v>1</v>
      </c>
      <c r="F5" s="2" t="n">
        <v>540</v>
      </c>
      <c r="G5" s="2">
        <f>AJ5*AK5</f>
        <v/>
      </c>
      <c r="H5" s="2" t="n">
        <v>0</v>
      </c>
      <c r="I5" s="2" t="n">
        <v>750</v>
      </c>
      <c r="J5" s="2" t="n">
        <v>0</v>
      </c>
      <c r="K5" s="2" t="n">
        <v>0</v>
      </c>
      <c r="L5" s="2" t="n">
        <v>0</v>
      </c>
      <c r="M5" s="2" t="n">
        <v>2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1</v>
      </c>
      <c r="AB5" s="2" t="n">
        <v>1</v>
      </c>
      <c r="AC5" s="2" t="n">
        <v>30</v>
      </c>
      <c r="AD5" s="2" t="n">
        <v>1000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0071655a-8a11-5be1-b6a2-e426221262c9</t>
        </is>
      </c>
      <c r="AM5" t="inlineStr"/>
    </row>
    <row r="6">
      <c r="A6" t="inlineStr">
        <is>
          <t>Low</t>
        </is>
      </c>
      <c r="B6" t="inlineStr">
        <is>
          <t>Bob</t>
        </is>
      </c>
      <c r="C6" t="inlineStr">
        <is>
          <t>Main step</t>
        </is>
      </c>
      <c r="D6" t="inlineStr">
        <is>
          <t>A</t>
        </is>
      </c>
      <c r="E6" s="2" t="n">
        <v>1</v>
      </c>
      <c r="F6" s="2" t="n">
        <v>60</v>
      </c>
      <c r="G6" s="2">
        <f>AJ6*AK6</f>
        <v/>
      </c>
      <c r="H6" s="2" t="n">
        <v>0</v>
      </c>
      <c r="I6" s="2" t="n">
        <v>750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derived</t>
        </is>
      </c>
      <c r="AA6" s="2" t="n">
        <v>1</v>
      </c>
      <c r="AB6" s="2" t="n">
        <v>1</v>
      </c>
      <c r="AC6" s="2" t="n">
        <v>30</v>
      </c>
      <c r="AD6" s="2" t="n">
        <v>1000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d2221e85-104a-5947-929f-73ce5c70e1aa</t>
        </is>
      </c>
      <c r="AM6" t="inlineStr"/>
    </row>
    <row r="7">
      <c r="A7" t="inlineStr">
        <is>
          <t>Low</t>
        </is>
      </c>
      <c r="B7" t="inlineStr">
        <is>
          <t>Planner</t>
        </is>
      </c>
      <c r="C7" t="inlineStr">
        <is>
          <t>Main step</t>
        </is>
      </c>
      <c r="D7" t="inlineStr">
        <is>
          <t>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750</v>
      </c>
      <c r="J7" s="2" t="n">
        <v>0</v>
      </c>
      <c r="K7" s="2" t="n">
        <v>0</v>
      </c>
      <c r="L7" s="2" t="n">
        <v>0</v>
      </c>
      <c r="M7" s="2" t="n">
        <v>2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20</v>
      </c>
      <c r="AB7" s="2" t="n">
        <v>1</v>
      </c>
      <c r="AC7" s="2" t="n">
        <v>30</v>
      </c>
      <c r="AD7" s="2" t="n">
        <v>1000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e53b8d39-1acd-45df-9dee-e185f8eeca0d</t>
        </is>
      </c>
      <c r="AM7" t="inlineStr"/>
    </row>
    <row r="8">
      <c r="A8" t="inlineStr">
        <is>
          <t>Expected</t>
        </is>
      </c>
      <c r="B8" t="inlineStr">
        <is>
          <t>Root settings</t>
        </is>
      </c>
      <c r="C8" t="inlineStr">
        <is>
          <t>Main step</t>
        </is>
      </c>
      <c r="D8" t="inlineStr">
        <is>
          <t>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1000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10</v>
      </c>
      <c r="AB8" s="2" t="n">
        <v>1</v>
      </c>
      <c r="AC8" s="2" t="n">
        <v>30</v>
      </c>
      <c r="AD8" s="2" t="n">
        <v>1000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roots-model</t>
        </is>
      </c>
      <c r="AM8" t="inlineStr"/>
    </row>
    <row r="9">
      <c r="A9" t="inlineStr">
        <is>
          <t>Expected</t>
        </is>
      </c>
      <c r="B9" t="inlineStr">
        <is>
          <t>Dana</t>
        </is>
      </c>
      <c r="C9" t="inlineStr">
        <is>
          <t>Main step</t>
        </is>
      </c>
      <c r="D9" t="inlineStr">
        <is>
          <t>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1000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1</v>
      </c>
      <c r="AC9" s="2" t="n">
        <v>30</v>
      </c>
      <c r="AD9" s="2" t="n">
        <v>1000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workers-model</t>
        </is>
      </c>
      <c r="AM9" t="inlineStr"/>
    </row>
    <row r="10">
      <c r="A10" t="inlineStr">
        <is>
          <t>Expected</t>
        </is>
      </c>
      <c r="B10" t="inlineStr">
        <is>
          <t>Cara</t>
        </is>
      </c>
      <c r="C10" t="inlineStr">
        <is>
          <t>Main step</t>
        </is>
      </c>
      <c r="D10" t="inlineStr">
        <is>
          <t>A</t>
        </is>
      </c>
      <c r="E10" s="2" t="n">
        <v>1</v>
      </c>
      <c r="F10" s="2" t="n">
        <v>300</v>
      </c>
      <c r="G10" s="2">
        <f>AJ10*AK10</f>
        <v/>
      </c>
      <c r="H10" s="2" t="n">
        <v>0</v>
      </c>
      <c r="I10" s="2" t="n">
        <v>2000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1</v>
      </c>
      <c r="AB10" s="2" t="n">
        <v>1</v>
      </c>
      <c r="AC10" s="2" t="n">
        <v>30</v>
      </c>
      <c r="AD10" s="2" t="n">
        <v>1000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529fcf09-79da-5a19-ac81-5a97fbb358dd</t>
        </is>
      </c>
      <c r="AM10" t="inlineStr"/>
    </row>
    <row r="11">
      <c r="A11" t="inlineStr">
        <is>
          <t>Expected</t>
        </is>
      </c>
      <c r="B11" t="inlineStr">
        <is>
          <t>Alice</t>
        </is>
      </c>
      <c r="C11" t="inlineStr">
        <is>
          <t>Main step</t>
        </is>
      </c>
      <c r="D11" t="inlineStr">
        <is>
          <t>A</t>
        </is>
      </c>
      <c r="E11" s="2" t="n">
        <v>1</v>
      </c>
      <c r="F11" s="2" t="n">
        <v>540</v>
      </c>
      <c r="G11" s="2">
        <f>AJ11*AK11</f>
        <v/>
      </c>
      <c r="H11" s="2" t="n">
        <v>0</v>
      </c>
      <c r="I11" s="2" t="n">
        <v>1000</v>
      </c>
      <c r="J11" s="2" t="n">
        <v>0</v>
      </c>
      <c r="K11" s="2" t="n">
        <v>0</v>
      </c>
      <c r="L11" s="2" t="n">
        <v>0</v>
      </c>
      <c r="M11" s="2" t="n">
        <v>2</v>
      </c>
      <c r="N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derived</t>
        </is>
      </c>
      <c r="AA11" s="2" t="n">
        <v>1</v>
      </c>
      <c r="AB11" s="2" t="n">
        <v>1</v>
      </c>
      <c r="AC11" s="2" t="n">
        <v>30</v>
      </c>
      <c r="AD11" s="2" t="n">
        <v>1000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0071655a-8a11-5be1-b6a2-e426221262c9</t>
        </is>
      </c>
      <c r="AM11" t="inlineStr"/>
    </row>
    <row r="12">
      <c r="A12" t="inlineStr">
        <is>
          <t>Expected</t>
        </is>
      </c>
      <c r="B12" t="inlineStr">
        <is>
          <t>Bob</t>
        </is>
      </c>
      <c r="C12" t="inlineStr">
        <is>
          <t>Main step</t>
        </is>
      </c>
      <c r="D12" t="inlineStr">
        <is>
          <t>A</t>
        </is>
      </c>
      <c r="E12" s="2" t="n">
        <v>1</v>
      </c>
      <c r="F12" s="2" t="n">
        <v>60</v>
      </c>
      <c r="G12" s="2">
        <f>AJ12*AK12</f>
        <v/>
      </c>
      <c r="H12" s="2" t="n">
        <v>0</v>
      </c>
      <c r="I12" s="2" t="n">
        <v>1000</v>
      </c>
      <c r="J12" s="2" t="n">
        <v>0</v>
      </c>
      <c r="K12" s="2" t="n">
        <v>0</v>
      </c>
      <c r="L12" s="2" t="n">
        <v>0</v>
      </c>
      <c r="M12" s="2" t="n">
        <v>2</v>
      </c>
      <c r="N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1</v>
      </c>
      <c r="AB12" s="2" t="n">
        <v>1</v>
      </c>
      <c r="AC12" s="2" t="n">
        <v>30</v>
      </c>
      <c r="AD12" s="2" t="n">
        <v>1000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d2221e85-104a-5947-929f-73ce5c70e1aa</t>
        </is>
      </c>
      <c r="AM12" t="inlineStr"/>
    </row>
    <row r="13">
      <c r="A13" t="inlineStr">
        <is>
          <t>Expected</t>
        </is>
      </c>
      <c r="B13" t="inlineStr">
        <is>
          <t>Planner</t>
        </is>
      </c>
      <c r="C13" t="inlineStr">
        <is>
          <t>Main step</t>
        </is>
      </c>
      <c r="D13" t="inlineStr">
        <is>
          <t>A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</v>
      </c>
      <c r="I13" s="2" t="n">
        <v>1000</v>
      </c>
      <c r="J13" s="2" t="n">
        <v>0</v>
      </c>
      <c r="K13" s="2" t="n">
        <v>0</v>
      </c>
      <c r="L13" s="2" t="n">
        <v>0</v>
      </c>
      <c r="M13" s="2" t="n">
        <v>2</v>
      </c>
      <c r="N13" s="2" t="n">
        <v>0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20</v>
      </c>
      <c r="AB13" s="2" t="n">
        <v>1</v>
      </c>
      <c r="AC13" s="2" t="n">
        <v>30</v>
      </c>
      <c r="AD13" s="2" t="n">
        <v>1000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e53b8d39-1acd-45df-9dee-e185f8eeca0d</t>
        </is>
      </c>
      <c r="AM13" t="inlineStr"/>
    </row>
    <row r="14">
      <c r="A14" t="inlineStr">
        <is>
          <t>High</t>
        </is>
      </c>
      <c r="B14" t="inlineStr">
        <is>
          <t>Root settings</t>
        </is>
      </c>
      <c r="C14" t="inlineStr">
        <is>
          <t>Main step</t>
        </is>
      </c>
      <c r="D14" t="inlineStr">
        <is>
          <t>A</t>
        </is>
      </c>
      <c r="E14" s="2" t="n">
        <v>1</v>
      </c>
      <c r="F14" s="2">
        <f>IF(Z14="daily_users",AA14*AB14*AC14,AD14)*AE14</f>
        <v/>
      </c>
      <c r="G14" s="2">
        <f>AJ14*AK14</f>
        <v/>
      </c>
      <c r="H14" s="2" t="n">
        <v>0</v>
      </c>
      <c r="I14" s="2" t="n">
        <v>1500</v>
      </c>
      <c r="J14" s="2" t="n">
        <v>0</v>
      </c>
      <c r="K14" s="2" t="n">
        <v>0</v>
      </c>
      <c r="L14" s="2" t="n">
        <v>0</v>
      </c>
      <c r="M14" s="2" t="n">
        <v>2</v>
      </c>
      <c r="N14" s="2" t="n">
        <v>0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daily_users</t>
        </is>
      </c>
      <c r="AA14" s="2" t="n">
        <v>10</v>
      </c>
      <c r="AB14" s="2" t="n">
        <v>1</v>
      </c>
      <c r="AC14" s="2" t="n">
        <v>30</v>
      </c>
      <c r="AD14" s="2" t="n">
        <v>1000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roots-model</t>
        </is>
      </c>
      <c r="AM14" t="inlineStr"/>
    </row>
    <row r="15">
      <c r="A15" t="inlineStr">
        <is>
          <t>High</t>
        </is>
      </c>
      <c r="B15" t="inlineStr">
        <is>
          <t>Dana</t>
        </is>
      </c>
      <c r="C15" t="inlineStr">
        <is>
          <t>Main step</t>
        </is>
      </c>
      <c r="D15" t="inlineStr">
        <is>
          <t>A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0</v>
      </c>
      <c r="K15" s="2" t="n">
        <v>0</v>
      </c>
      <c r="L15" s="2" t="n">
        <v>0</v>
      </c>
      <c r="M15" s="2" t="n">
        <v>2</v>
      </c>
      <c r="N15" s="2" t="n">
        <v>0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1</v>
      </c>
      <c r="AB15" s="2" t="n">
        <v>1</v>
      </c>
      <c r="AC15" s="2" t="n">
        <v>30</v>
      </c>
      <c r="AD15" s="2" t="n">
        <v>1000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workers-model</t>
        </is>
      </c>
      <c r="AM15" t="inlineStr"/>
    </row>
    <row r="16">
      <c r="A16" t="inlineStr">
        <is>
          <t>High</t>
        </is>
      </c>
      <c r="B16" t="inlineStr">
        <is>
          <t>Cara</t>
        </is>
      </c>
      <c r="C16" t="inlineStr">
        <is>
          <t>Main step</t>
        </is>
      </c>
      <c r="D16" t="inlineStr">
        <is>
          <t>A</t>
        </is>
      </c>
      <c r="E16" s="2" t="n">
        <v>1</v>
      </c>
      <c r="F16" s="2" t="n">
        <v>300</v>
      </c>
      <c r="G16" s="2">
        <f>AJ16*AK16</f>
        <v/>
      </c>
      <c r="H16" s="2" t="n">
        <v>0</v>
      </c>
      <c r="I16" s="2" t="n">
        <v>3000</v>
      </c>
      <c r="J16" s="2" t="n">
        <v>0</v>
      </c>
      <c r="K16" s="2" t="n">
        <v>0</v>
      </c>
      <c r="L16" s="2" t="n">
        <v>0</v>
      </c>
      <c r="M16" s="2" t="n">
        <v>2</v>
      </c>
      <c r="N16" s="2" t="n">
        <v>0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derived</t>
        </is>
      </c>
      <c r="AA16" s="2" t="n">
        <v>1</v>
      </c>
      <c r="AB16" s="2" t="n">
        <v>1</v>
      </c>
      <c r="AC16" s="2" t="n">
        <v>30</v>
      </c>
      <c r="AD16" s="2" t="n">
        <v>1000</v>
      </c>
      <c r="AE16" s="2" t="n">
        <v>1</v>
      </c>
      <c r="AF16" t="inlineStr">
        <is>
          <t>simple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529fcf09-79da-5a19-ac81-5a97fbb358dd</t>
        </is>
      </c>
      <c r="AM16" t="inlineStr"/>
    </row>
    <row r="17">
      <c r="A17" t="inlineStr">
        <is>
          <t>High</t>
        </is>
      </c>
      <c r="B17" t="inlineStr">
        <is>
          <t>Alice</t>
        </is>
      </c>
      <c r="C17" t="inlineStr">
        <is>
          <t>Main step</t>
        </is>
      </c>
      <c r="D17" t="inlineStr">
        <is>
          <t>A</t>
        </is>
      </c>
      <c r="E17" s="2" t="n">
        <v>1</v>
      </c>
      <c r="F17" s="2" t="n">
        <v>540</v>
      </c>
      <c r="G17" s="2">
        <f>AJ17*AK17</f>
        <v/>
      </c>
      <c r="H17" s="2" t="n">
        <v>0</v>
      </c>
      <c r="I17" s="2" t="n">
        <v>1500</v>
      </c>
      <c r="J17" s="2" t="n">
        <v>0</v>
      </c>
      <c r="K17" s="2" t="n">
        <v>0</v>
      </c>
      <c r="L17" s="2" t="n">
        <v>0</v>
      </c>
      <c r="M17" s="2" t="n">
        <v>2</v>
      </c>
      <c r="N17" s="2" t="n">
        <v>0</v>
      </c>
      <c r="Q17" s="2">
        <f>E17*F17*G17*(1+H17)</f>
        <v/>
      </c>
      <c r="R17" s="2">
        <f>Q17*I17</f>
        <v/>
      </c>
      <c r="S17" s="2">
        <f>Q17*J17</f>
        <v/>
      </c>
      <c r="T17" s="2">
        <f>R17*(1-K17-L17)*M17/1000000</f>
        <v/>
      </c>
      <c r="U17" s="2">
        <f>S17*N17/1000000</f>
        <v/>
      </c>
      <c r="V17" s="2">
        <f>R17*K17*O17/1000000</f>
        <v/>
      </c>
      <c r="W17" s="2">
        <f>R17*L17*P17/1000000</f>
        <v/>
      </c>
      <c r="X17" s="2">
        <f>SUM(T17:W17)</f>
        <v/>
      </c>
      <c r="Y17" t="inlineStr">
        <is>
          <t>Complete</t>
        </is>
      </c>
      <c r="Z17" t="inlineStr">
        <is>
          <t>derived</t>
        </is>
      </c>
      <c r="AA17" s="2" t="n">
        <v>1</v>
      </c>
      <c r="AB17" s="2" t="n">
        <v>1</v>
      </c>
      <c r="AC17" s="2" t="n">
        <v>30</v>
      </c>
      <c r="AD17" s="2" t="n">
        <v>1000</v>
      </c>
      <c r="AE17" s="2" t="n">
        <v>1</v>
      </c>
      <c r="AF17" t="inlineStr">
        <is>
          <t>simple</t>
        </is>
      </c>
      <c r="AG17" s="2">
        <f>R17*(1-K17-L17)</f>
        <v/>
      </c>
      <c r="AH17" s="2">
        <f>R17*K17</f>
        <v/>
      </c>
      <c r="AI17" s="2">
        <f>R17*L17</f>
        <v/>
      </c>
      <c r="AJ17" s="2" t="n">
        <v>1</v>
      </c>
      <c r="AK17" s="2" t="n">
        <v>1</v>
      </c>
      <c r="AL17" t="inlineStr">
        <is>
          <t>0071655a-8a11-5be1-b6a2-e426221262c9</t>
        </is>
      </c>
      <c r="AM17" t="inlineStr"/>
    </row>
    <row r="18">
      <c r="A18" t="inlineStr">
        <is>
          <t>High</t>
        </is>
      </c>
      <c r="B18" t="inlineStr">
        <is>
          <t>Bob</t>
        </is>
      </c>
      <c r="C18" t="inlineStr">
        <is>
          <t>Main step</t>
        </is>
      </c>
      <c r="D18" t="inlineStr">
        <is>
          <t>A</t>
        </is>
      </c>
      <c r="E18" s="2" t="n">
        <v>1</v>
      </c>
      <c r="F18" s="2" t="n">
        <v>60</v>
      </c>
      <c r="G18" s="2">
        <f>AJ18*AK18</f>
        <v/>
      </c>
      <c r="H18" s="2" t="n">
        <v>0</v>
      </c>
      <c r="I18" s="2" t="n">
        <v>1500</v>
      </c>
      <c r="J18" s="2" t="n">
        <v>0</v>
      </c>
      <c r="K18" s="2" t="n">
        <v>0</v>
      </c>
      <c r="L18" s="2" t="n">
        <v>0</v>
      </c>
      <c r="M18" s="2" t="n">
        <v>2</v>
      </c>
      <c r="N18" s="2" t="n">
        <v>0</v>
      </c>
      <c r="Q18" s="2">
        <f>E18*F18*G18*(1+H18)</f>
        <v/>
      </c>
      <c r="R18" s="2">
        <f>Q18*I18</f>
        <v/>
      </c>
      <c r="S18" s="2">
        <f>Q18*J18</f>
        <v/>
      </c>
      <c r="T18" s="2">
        <f>R18*(1-K18-L18)*M18/1000000</f>
        <v/>
      </c>
      <c r="U18" s="2">
        <f>S18*N18/1000000</f>
        <v/>
      </c>
      <c r="V18" s="2">
        <f>R18*K18*O18/1000000</f>
        <v/>
      </c>
      <c r="W18" s="2">
        <f>R18*L18*P18/1000000</f>
        <v/>
      </c>
      <c r="X18" s="2">
        <f>SUM(T18:W18)</f>
        <v/>
      </c>
      <c r="Y18" t="inlineStr">
        <is>
          <t>Complete</t>
        </is>
      </c>
      <c r="Z18" t="inlineStr">
        <is>
          <t>derived</t>
        </is>
      </c>
      <c r="AA18" s="2" t="n">
        <v>1</v>
      </c>
      <c r="AB18" s="2" t="n">
        <v>1</v>
      </c>
      <c r="AC18" s="2" t="n">
        <v>30</v>
      </c>
      <c r="AD18" s="2" t="n">
        <v>1000</v>
      </c>
      <c r="AE18" s="2" t="n">
        <v>1</v>
      </c>
      <c r="AF18" t="inlineStr">
        <is>
          <t>simple</t>
        </is>
      </c>
      <c r="AG18" s="2">
        <f>R18*(1-K18-L18)</f>
        <v/>
      </c>
      <c r="AH18" s="2">
        <f>R18*K18</f>
        <v/>
      </c>
      <c r="AI18" s="2">
        <f>R18*L18</f>
        <v/>
      </c>
      <c r="AJ18" s="2" t="n">
        <v>1</v>
      </c>
      <c r="AK18" s="2" t="n">
        <v>1</v>
      </c>
      <c r="AL18" t="inlineStr">
        <is>
          <t>d2221e85-104a-5947-929f-73ce5c70e1aa</t>
        </is>
      </c>
      <c r="AM18" t="inlineStr"/>
    </row>
    <row r="19">
      <c r="A19" t="inlineStr">
        <is>
          <t>High</t>
        </is>
      </c>
      <c r="B19" t="inlineStr">
        <is>
          <t>Planner</t>
        </is>
      </c>
      <c r="C19" t="inlineStr">
        <is>
          <t>Main step</t>
        </is>
      </c>
      <c r="D19" t="inlineStr">
        <is>
          <t>A</t>
        </is>
      </c>
      <c r="E19" s="2" t="n">
        <v>1</v>
      </c>
      <c r="F19" s="2">
        <f>IF(Z19="daily_users",AA19*AB19*AC19,AD19)*AE19</f>
        <v/>
      </c>
      <c r="G19" s="2">
        <f>AJ19*AK19</f>
        <v/>
      </c>
      <c r="H19" s="2" t="n">
        <v>0</v>
      </c>
      <c r="I19" s="2" t="n">
        <v>1500</v>
      </c>
      <c r="J19" s="2" t="n">
        <v>0</v>
      </c>
      <c r="K19" s="2" t="n">
        <v>0</v>
      </c>
      <c r="L19" s="2" t="n">
        <v>0</v>
      </c>
      <c r="M19" s="2" t="n">
        <v>2</v>
      </c>
      <c r="N19" s="2" t="n">
        <v>0</v>
      </c>
      <c r="Q19" s="2">
        <f>E19*F19*G19*(1+H19)</f>
        <v/>
      </c>
      <c r="R19" s="2">
        <f>Q19*I19</f>
        <v/>
      </c>
      <c r="S19" s="2">
        <f>Q19*J19</f>
        <v/>
      </c>
      <c r="T19" s="2">
        <f>R19*(1-K19-L19)*M19/1000000</f>
        <v/>
      </c>
      <c r="U19" s="2">
        <f>S19*N19/1000000</f>
        <v/>
      </c>
      <c r="V19" s="2">
        <f>R19*K19*O19/1000000</f>
        <v/>
      </c>
      <c r="W19" s="2">
        <f>R19*L19*P19/1000000</f>
        <v/>
      </c>
      <c r="X19" s="2">
        <f>SUM(T19:W19)</f>
        <v/>
      </c>
      <c r="Y19" t="inlineStr">
        <is>
          <t>Complete</t>
        </is>
      </c>
      <c r="Z19" t="inlineStr">
        <is>
          <t>daily_users</t>
        </is>
      </c>
      <c r="AA19" s="2" t="n">
        <v>20</v>
      </c>
      <c r="AB19" s="2" t="n">
        <v>1</v>
      </c>
      <c r="AC19" s="2" t="n">
        <v>30</v>
      </c>
      <c r="AD19" s="2" t="n">
        <v>1000</v>
      </c>
      <c r="AE19" s="2" t="n">
        <v>1</v>
      </c>
      <c r="AF19" t="inlineStr">
        <is>
          <t>simple</t>
        </is>
      </c>
      <c r="AG19" s="2">
        <f>R19*(1-K19-L19)</f>
        <v/>
      </c>
      <c r="AH19" s="2">
        <f>R19*K19</f>
        <v/>
      </c>
      <c r="AI19" s="2">
        <f>R19*L19</f>
        <v/>
      </c>
      <c r="AJ19" s="2" t="n">
        <v>1</v>
      </c>
      <c r="AK19" s="2" t="n">
        <v>1</v>
      </c>
      <c r="AL19" t="inlineStr">
        <is>
          <t>e53b8d39-1acd-45df-9dee-e185f8eeca0d</t>
        </is>
      </c>
      <c r="AM19" t="inlineStr"/>
    </row>
  </sheetData>
  <autoFilter ref="A1:AM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Root settings</t>
        </is>
      </c>
      <c r="B2" t="inlineStr">
        <is>
          <t>simple</t>
        </is>
      </c>
      <c r="C2" s="2" t="n">
        <v>1</v>
      </c>
      <c r="D2" s="2" t="n">
        <v>1000</v>
      </c>
      <c r="E2" t="inlineStr">
        <is>
          <t>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root-two</t>
        </is>
      </c>
      <c r="P2" t="inlineStr">
        <is>
          <t>Root two handles a request</t>
        </is>
      </c>
      <c r="Q2" t="inlineStr">
        <is>
          <t>roots</t>
        </is>
      </c>
    </row>
    <row r="3">
      <c r="A3" t="inlineStr">
        <is>
          <t>Dana</t>
        </is>
      </c>
      <c r="B3" t="inlineStr">
        <is>
          <t>simple</t>
        </is>
      </c>
      <c r="C3" s="2" t="n">
        <v>1</v>
      </c>
      <c r="D3" s="2" t="n">
        <v>1000</v>
      </c>
      <c r="E3" t="inlineStr">
        <is>
          <t>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>
        <is>
          <t>dana</t>
        </is>
      </c>
      <c r="P3" t="inlineStr">
        <is>
          <t>Dana handles a request</t>
        </is>
      </c>
      <c r="Q3" t="inlineStr">
        <is>
          <t>workers</t>
        </is>
      </c>
    </row>
    <row r="4">
      <c r="A4" t="inlineStr">
        <is>
          <t>Cara</t>
        </is>
      </c>
      <c r="B4" t="inlineStr">
        <is>
          <t>simple</t>
        </is>
      </c>
      <c r="C4" s="2" t="n">
        <v>1</v>
      </c>
      <c r="D4" s="2" t="n">
        <v>1000</v>
      </c>
      <c r="E4" t="inlineStr">
        <is>
          <t>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1</v>
      </c>
      <c r="N4" s="2" t="n">
        <v>1</v>
      </c>
      <c r="O4" t="inlineStr">
        <is>
          <t>cara</t>
        </is>
      </c>
      <c r="P4" t="inlineStr">
        <is>
          <t>Cara handles a request</t>
        </is>
      </c>
      <c r="Q4" t="inlineStr">
        <is>
          <t>618b142e-479e-5316-a81a-328f2600740b</t>
        </is>
      </c>
    </row>
    <row r="5">
      <c r="A5" t="inlineStr">
        <is>
          <t>Alice</t>
        </is>
      </c>
      <c r="B5" t="inlineStr">
        <is>
          <t>simple</t>
        </is>
      </c>
      <c r="C5" s="2" t="n">
        <v>1</v>
      </c>
      <c r="D5" s="2" t="n">
        <v>1000</v>
      </c>
      <c r="E5" t="inlineStr">
        <is>
          <t>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derived</t>
        </is>
      </c>
      <c r="M5" s="2" t="n">
        <v>1</v>
      </c>
      <c r="N5" s="2" t="n">
        <v>1</v>
      </c>
      <c r="O5" t="inlineStr">
        <is>
          <t>alice</t>
        </is>
      </c>
      <c r="P5" t="inlineStr">
        <is>
          <t>Alice handles a request</t>
        </is>
      </c>
      <c r="Q5" t="inlineStr">
        <is>
          <t>0cf7c3b1-0070-5077-bed0-8281b50fc962</t>
        </is>
      </c>
    </row>
    <row r="6">
      <c r="A6" t="inlineStr">
        <is>
          <t>Bob</t>
        </is>
      </c>
      <c r="B6" t="inlineStr">
        <is>
          <t>simple</t>
        </is>
      </c>
      <c r="C6" s="2" t="n">
        <v>1</v>
      </c>
      <c r="D6" s="2" t="n">
        <v>1000</v>
      </c>
      <c r="E6" t="inlineStr">
        <is>
          <t>A</t>
        </is>
      </c>
      <c r="F6" t="inlineStr"/>
      <c r="G6" t="inlineStr"/>
      <c r="H6" t="inlineStr"/>
      <c r="I6" t="inlineStr"/>
      <c r="J6" t="inlineStr"/>
      <c r="K6" t="inlineStr"/>
      <c r="L6" t="inlineStr">
        <is>
          <t>derived</t>
        </is>
      </c>
      <c r="M6" s="2" t="n">
        <v>1</v>
      </c>
      <c r="N6" s="2" t="n">
        <v>1</v>
      </c>
      <c r="O6" t="inlineStr">
        <is>
          <t>bob</t>
        </is>
      </c>
      <c r="P6" t="inlineStr">
        <is>
          <t>Bob handles a request</t>
        </is>
      </c>
      <c r="Q6" t="inlineStr">
        <is>
          <t>beffca0d-fd5d-5fcc-b777-44b69b21da02</t>
        </is>
      </c>
    </row>
    <row r="7">
      <c r="A7" t="inlineStr">
        <is>
          <t>Planner</t>
        </is>
      </c>
      <c r="B7" t="inlineStr">
        <is>
          <t>simple</t>
        </is>
      </c>
      <c r="C7" s="2" t="n">
        <v>1</v>
      </c>
      <c r="D7" s="2" t="n">
        <v>1000</v>
      </c>
      <c r="E7" t="inlineStr">
        <is>
          <t>A</t>
        </is>
      </c>
      <c r="F7" t="inlineStr"/>
      <c r="G7" t="inlineStr"/>
      <c r="H7" t="inlineStr"/>
      <c r="I7" t="inlineStr"/>
      <c r="J7" t="inlineStr"/>
      <c r="K7" t="inlineStr"/>
      <c r="L7" t="inlineStr">
        <is>
          <t>daily_users</t>
        </is>
      </c>
      <c r="M7" s="2" t="n">
        <v>20</v>
      </c>
      <c r="N7" s="2" t="n">
        <v>1</v>
      </c>
      <c r="O7" t="inlineStr">
        <is>
          <t>root-one</t>
        </is>
      </c>
      <c r="P7" t="inlineStr">
        <is>
          <t>Root one handles a request</t>
        </is>
      </c>
      <c r="Q7" t="inlineStr">
        <is>
          <t>77c9c118-08c1-414b-b395-8ffc9280694c</t>
        </is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roots</t>
        </is>
      </c>
      <c r="B2" t="inlineStr">
        <is>
          <t>roots-model</t>
        </is>
      </c>
      <c r="C2" t="inlineStr">
        <is>
          <t>Main step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roots-model-model</t>
        </is>
      </c>
      <c r="I2" t="inlineStr">
        <is>
          <t>1</t>
        </is>
      </c>
      <c r="J2" t="inlineStr">
        <is>
          <t>A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roots</t>
        </is>
      </c>
      <c r="B3" t="inlineStr">
        <is>
          <t>route</t>
        </is>
      </c>
      <c r="C3" t="inlineStr">
        <is>
          <t>Route request</t>
        </is>
      </c>
      <c r="D3" s="2" t="n">
        <v>2</v>
      </c>
      <c r="E3" t="inlineStr">
        <is>
          <t>agent</t>
        </is>
      </c>
      <c r="F3" t="inlineStr">
        <is>
          <t>1</t>
        </is>
      </c>
      <c r="G3" t="inlineStr">
        <is>
          <t>simple</t>
        </is>
      </c>
      <c r="H3" t="inlineStr">
        <is>
          <t>alice-option</t>
        </is>
      </c>
      <c r="I3" t="inlineStr">
        <is>
          <t>0.8</t>
        </is>
      </c>
      <c r="K3" t="inlineStr">
        <is>
          <t>alice</t>
        </is>
      </c>
    </row>
    <row r="4">
      <c r="A4" t="inlineStr">
        <is>
          <t>roots</t>
        </is>
      </c>
      <c r="B4" t="inlineStr">
        <is>
          <t>route</t>
        </is>
      </c>
      <c r="C4" t="inlineStr">
        <is>
          <t>Route request</t>
        </is>
      </c>
      <c r="D4" s="2" t="n">
        <v>2</v>
      </c>
      <c r="E4" t="inlineStr">
        <is>
          <t>agent</t>
        </is>
      </c>
      <c r="F4" t="inlineStr">
        <is>
          <t>1</t>
        </is>
      </c>
      <c r="G4" t="inlineStr">
        <is>
          <t>simple</t>
        </is>
      </c>
      <c r="H4" t="inlineStr">
        <is>
          <t>bob-option</t>
        </is>
      </c>
      <c r="I4" t="inlineStr">
        <is>
          <t>0.2</t>
        </is>
      </c>
      <c r="K4" t="inlineStr">
        <is>
          <t>bob</t>
        </is>
      </c>
    </row>
    <row r="5">
      <c r="A5" t="inlineStr">
        <is>
          <t>workers</t>
        </is>
      </c>
      <c r="B5" t="inlineStr">
        <is>
          <t>workers-model</t>
        </is>
      </c>
      <c r="C5" t="inlineStr">
        <is>
          <t>Main step</t>
        </is>
      </c>
      <c r="D5" s="2" t="n">
        <v>1</v>
      </c>
      <c r="E5" t="inlineStr">
        <is>
          <t>model</t>
        </is>
      </c>
      <c r="F5" t="inlineStr">
        <is>
          <t>1</t>
        </is>
      </c>
      <c r="G5" t="inlineStr">
        <is>
          <t>simple</t>
        </is>
      </c>
      <c r="H5" t="inlineStr">
        <is>
          <t>workers-model-model</t>
        </is>
      </c>
      <c r="I5" t="inlineStr">
        <is>
          <t>1</t>
        </is>
      </c>
      <c r="J5" t="inlineStr">
        <is>
          <t>A</t>
        </is>
      </c>
      <c r="L5" t="inlineStr">
        <is>
          <t>1</t>
        </is>
      </c>
      <c r="M5" t="inlineStr">
        <is>
          <t>1000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618b142e-479e-5316-a81a-328f2600740b</t>
        </is>
      </c>
      <c r="B6" t="inlineStr">
        <is>
          <t>529fcf09-79da-5a19-ac81-5a97fbb358dd</t>
        </is>
      </c>
      <c r="C6" t="inlineStr">
        <is>
          <t>Main step</t>
        </is>
      </c>
      <c r="D6" s="2" t="n">
        <v>1</v>
      </c>
      <c r="E6" t="inlineStr">
        <is>
          <t>model</t>
        </is>
      </c>
      <c r="F6" t="inlineStr">
        <is>
          <t>1</t>
        </is>
      </c>
      <c r="G6" t="inlineStr">
        <is>
          <t>simple</t>
        </is>
      </c>
      <c r="H6" t="inlineStr">
        <is>
          <t>29d5e6e2-724b-5266-8162-2354e09e660e</t>
        </is>
      </c>
      <c r="I6" t="inlineStr">
        <is>
          <t>1</t>
        </is>
      </c>
      <c r="J6" t="inlineStr">
        <is>
          <t>A</t>
        </is>
      </c>
      <c r="L6" t="inlineStr">
        <is>
          <t>1</t>
        </is>
      </c>
      <c r="M6" t="inlineStr">
        <is>
          <t>2000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0cf7c3b1-0070-5077-bed0-8281b50fc962</t>
        </is>
      </c>
      <c r="B7" t="inlineStr">
        <is>
          <t>0071655a-8a11-5be1-b6a2-e426221262c9</t>
        </is>
      </c>
      <c r="C7" t="inlineStr">
        <is>
          <t>Main step</t>
        </is>
      </c>
      <c r="D7" s="2" t="n">
        <v>1</v>
      </c>
      <c r="E7" t="inlineStr">
        <is>
          <t>model</t>
        </is>
      </c>
      <c r="F7" t="inlineStr">
        <is>
          <t>1</t>
        </is>
      </c>
      <c r="G7" t="inlineStr">
        <is>
          <t>simple</t>
        </is>
      </c>
      <c r="H7" t="inlineStr">
        <is>
          <t>d52a4276-6c36-5e29-8db9-fd63d3248b5b</t>
        </is>
      </c>
      <c r="I7" t="inlineStr">
        <is>
          <t>1</t>
        </is>
      </c>
      <c r="J7" t="inlineStr">
        <is>
          <t>A</t>
        </is>
      </c>
      <c r="L7" t="inlineStr">
        <is>
          <t>1</t>
        </is>
      </c>
      <c r="M7" t="inlineStr">
        <is>
          <t>1000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beffca0d-fd5d-5fcc-b777-44b69b21da02</t>
        </is>
      </c>
      <c r="B8" t="inlineStr">
        <is>
          <t>d2221e85-104a-5947-929f-73ce5c70e1aa</t>
        </is>
      </c>
      <c r="C8" t="inlineStr">
        <is>
          <t>Main step</t>
        </is>
      </c>
      <c r="D8" s="2" t="n">
        <v>1</v>
      </c>
      <c r="E8" t="inlineStr">
        <is>
          <t>model</t>
        </is>
      </c>
      <c r="F8" t="inlineStr">
        <is>
          <t>1</t>
        </is>
      </c>
      <c r="G8" t="inlineStr">
        <is>
          <t>simple</t>
        </is>
      </c>
      <c r="H8" t="inlineStr">
        <is>
          <t>7e5b319c-b14a-57ba-a810-96c118183a0d</t>
        </is>
      </c>
      <c r="I8" t="inlineStr">
        <is>
          <t>1</t>
        </is>
      </c>
      <c r="J8" t="inlineStr">
        <is>
          <t>A</t>
        </is>
      </c>
      <c r="L8" t="inlineStr">
        <is>
          <t>1</t>
        </is>
      </c>
      <c r="M8" t="inlineStr">
        <is>
          <t>1000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77c9c118-08c1-414b-b395-8ffc9280694c</t>
        </is>
      </c>
      <c r="B9" t="inlineStr">
        <is>
          <t>e53b8d39-1acd-45df-9dee-e185f8eeca0d</t>
        </is>
      </c>
      <c r="C9" t="inlineStr">
        <is>
          <t>Main step</t>
        </is>
      </c>
      <c r="D9" s="2" t="n">
        <v>1</v>
      </c>
      <c r="E9" t="inlineStr">
        <is>
          <t>model</t>
        </is>
      </c>
      <c r="F9" t="inlineStr">
        <is>
          <t>1</t>
        </is>
      </c>
      <c r="G9" t="inlineStr">
        <is>
          <t>simple</t>
        </is>
      </c>
      <c r="H9" t="inlineStr">
        <is>
          <t>93dba26d-9ed9-495e-b7b3-2f42f5876fe5</t>
        </is>
      </c>
      <c r="I9" t="inlineStr">
        <is>
          <t>1</t>
        </is>
      </c>
      <c r="J9" t="inlineStr">
        <is>
          <t>A</t>
        </is>
      </c>
      <c r="L9" t="inlineStr">
        <is>
          <t>1</t>
        </is>
      </c>
      <c r="M9" t="inlineStr">
        <is>
          <t>1000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77c9c118-08c1-414b-b395-8ffc9280694c</t>
        </is>
      </c>
      <c r="B10" t="inlineStr">
        <is>
          <t>9f1e71cd-056e-480f-9a10-fc99fbc7e941</t>
        </is>
      </c>
      <c r="C10" t="inlineStr">
        <is>
          <t>Route request</t>
        </is>
      </c>
      <c r="D10" s="2" t="n">
        <v>2</v>
      </c>
      <c r="E10" t="inlineStr">
        <is>
          <t>agent</t>
        </is>
      </c>
      <c r="F10" t="inlineStr">
        <is>
          <t>1</t>
        </is>
      </c>
      <c r="G10" t="inlineStr">
        <is>
          <t>simple</t>
        </is>
      </c>
      <c r="H10" t="inlineStr">
        <is>
          <t>cafa6cc1-83cf-442b-afc4-35b65a9c3bdc</t>
        </is>
      </c>
      <c r="I10" t="inlineStr">
        <is>
          <t>0.5</t>
        </is>
      </c>
      <c r="K10" t="inlineStr">
        <is>
          <t>alice</t>
        </is>
      </c>
    </row>
    <row r="11">
      <c r="A11" t="inlineStr">
        <is>
          <t>77c9c118-08c1-414b-b395-8ffc9280694c</t>
        </is>
      </c>
      <c r="B11" t="inlineStr">
        <is>
          <t>9f1e71cd-056e-480f-9a10-fc99fbc7e941</t>
        </is>
      </c>
      <c r="C11" t="inlineStr">
        <is>
          <t>Route request</t>
        </is>
      </c>
      <c r="D11" s="2" t="n">
        <v>2</v>
      </c>
      <c r="E11" t="inlineStr">
        <is>
          <t>agent</t>
        </is>
      </c>
      <c r="F11" t="inlineStr">
        <is>
          <t>1</t>
        </is>
      </c>
      <c r="G11" t="inlineStr">
        <is>
          <t>simple</t>
        </is>
      </c>
      <c r="H11" t="inlineStr">
        <is>
          <t>18824f9c-c400-4c63-b33b-7acfa95fa394</t>
        </is>
      </c>
      <c r="I11" t="inlineStr">
        <is>
          <t>0.5</t>
        </is>
      </c>
      <c r="K11" t="inlineStr">
        <is>
          <t>cara</t>
        </is>
      </c>
    </row>
  </sheetData>
  <autoFilter ref="A1:U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Main step</t>
        </is>
      </c>
      <c r="D2" t="inlineStr">
        <is>
          <t>model</t>
        </is>
      </c>
      <c r="E2" t="inlineStr">
        <is>
          <t>1</t>
        </is>
      </c>
      <c r="F2" t="inlineStr">
        <is>
          <t>roots-model-model</t>
        </is>
      </c>
      <c r="G2" t="inlineStr">
        <is>
          <t>A</t>
        </is>
      </c>
      <c r="H2" s="2" t="n">
        <v>1</v>
      </c>
      <c r="I2" s="2" t="n">
        <v>0.0015</v>
      </c>
      <c r="J2" s="2" t="n">
        <v>0.0015</v>
      </c>
      <c r="K2" s="2" t="n">
        <v>0.45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Root settings</t>
        </is>
      </c>
      <c r="C3" t="inlineStr">
        <is>
          <t>Route request</t>
        </is>
      </c>
      <c r="D3" t="inlineStr">
        <is>
          <t>agent</t>
        </is>
      </c>
      <c r="E3" t="inlineStr">
        <is>
          <t>1</t>
        </is>
      </c>
      <c r="F3" t="inlineStr">
        <is>
          <t>alice-option</t>
        </is>
      </c>
      <c r="G3" t="inlineStr">
        <is>
          <t>alice</t>
        </is>
      </c>
      <c r="H3" s="2" t="n">
        <v>0.8</v>
      </c>
      <c r="I3" s="2" t="n">
        <v>0.0015</v>
      </c>
      <c r="J3" s="2" t="n">
        <v>0.0012</v>
      </c>
      <c r="K3" s="2" t="n">
        <v>0.45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Root settings</t>
        </is>
      </c>
      <c r="C4" t="inlineStr">
        <is>
          <t>Route request</t>
        </is>
      </c>
      <c r="D4" t="inlineStr">
        <is>
          <t>agent</t>
        </is>
      </c>
      <c r="E4" t="inlineStr">
        <is>
          <t>1</t>
        </is>
      </c>
      <c r="F4" t="inlineStr">
        <is>
          <t>bob-option</t>
        </is>
      </c>
      <c r="G4" t="inlineStr">
        <is>
          <t>bob</t>
        </is>
      </c>
      <c r="H4" s="2" t="n">
        <v>0.2</v>
      </c>
      <c r="I4" s="2" t="n">
        <v>0.0015</v>
      </c>
      <c r="J4" s="2" t="n">
        <v>0.0003</v>
      </c>
      <c r="K4" s="2" t="n">
        <v>0.45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Dana</t>
        </is>
      </c>
      <c r="C5" t="inlineStr">
        <is>
          <t>Main step</t>
        </is>
      </c>
      <c r="D5" t="inlineStr">
        <is>
          <t>model</t>
        </is>
      </c>
      <c r="E5" t="inlineStr">
        <is>
          <t>1</t>
        </is>
      </c>
      <c r="F5" t="inlineStr">
        <is>
          <t>workers-model-model</t>
        </is>
      </c>
      <c r="G5" t="inlineStr">
        <is>
          <t>A</t>
        </is>
      </c>
      <c r="H5" s="2" t="n">
        <v>1</v>
      </c>
      <c r="I5" s="2" t="n">
        <v>0.0015</v>
      </c>
      <c r="J5" s="2" t="n">
        <v>0.0015</v>
      </c>
      <c r="K5" s="2" t="n">
        <v>0.045</v>
      </c>
      <c r="L5" t="inlineStr">
        <is>
          <t>Complete</t>
        </is>
      </c>
    </row>
    <row r="6">
      <c r="A6" t="inlineStr">
        <is>
          <t>Low</t>
        </is>
      </c>
      <c r="B6" t="inlineStr">
        <is>
          <t>Cara</t>
        </is>
      </c>
      <c r="C6" t="inlineStr">
        <is>
          <t>Main step</t>
        </is>
      </c>
      <c r="D6" t="inlineStr">
        <is>
          <t>model</t>
        </is>
      </c>
      <c r="E6" t="inlineStr">
        <is>
          <t>1</t>
        </is>
      </c>
      <c r="F6" t="inlineStr">
        <is>
          <t>29d5e6e2-724b-5266-8162-2354e09e660e</t>
        </is>
      </c>
      <c r="G6" t="inlineStr">
        <is>
          <t>A</t>
        </is>
      </c>
      <c r="H6" s="2" t="n">
        <v>1</v>
      </c>
      <c r="I6" s="2" t="n">
        <v>0.003</v>
      </c>
      <c r="J6" s="2" t="n">
        <v>0.003</v>
      </c>
      <c r="K6" s="2" t="n">
        <v>0.9</v>
      </c>
      <c r="L6" t="inlineStr">
        <is>
          <t>Complete</t>
        </is>
      </c>
    </row>
    <row r="7">
      <c r="A7" t="inlineStr">
        <is>
          <t>Low</t>
        </is>
      </c>
      <c r="B7" t="inlineStr">
        <is>
          <t>Alice</t>
        </is>
      </c>
      <c r="C7" t="inlineStr">
        <is>
          <t>Main step</t>
        </is>
      </c>
      <c r="D7" t="inlineStr">
        <is>
          <t>model</t>
        </is>
      </c>
      <c r="E7" t="inlineStr">
        <is>
          <t>1</t>
        </is>
      </c>
      <c r="F7" t="inlineStr">
        <is>
          <t>d52a4276-6c36-5e29-8db9-fd63d3248b5b</t>
        </is>
      </c>
      <c r="G7" t="inlineStr">
        <is>
          <t>A</t>
        </is>
      </c>
      <c r="H7" s="2" t="n">
        <v>1</v>
      </c>
      <c r="I7" s="2" t="n">
        <v>0.0015</v>
      </c>
      <c r="J7" s="2" t="n">
        <v>0.0015</v>
      </c>
      <c r="K7" s="2" t="n">
        <v>0.8100000000000001</v>
      </c>
      <c r="L7" t="inlineStr">
        <is>
          <t>Complete</t>
        </is>
      </c>
    </row>
    <row r="8">
      <c r="A8" t="inlineStr">
        <is>
          <t>Low</t>
        </is>
      </c>
      <c r="B8" t="inlineStr">
        <is>
          <t>Bob</t>
        </is>
      </c>
      <c r="C8" t="inlineStr">
        <is>
          <t>Main step</t>
        </is>
      </c>
      <c r="D8" t="inlineStr">
        <is>
          <t>model</t>
        </is>
      </c>
      <c r="E8" t="inlineStr">
        <is>
          <t>1</t>
        </is>
      </c>
      <c r="F8" t="inlineStr">
        <is>
          <t>7e5b319c-b14a-57ba-a810-96c118183a0d</t>
        </is>
      </c>
      <c r="G8" t="inlineStr">
        <is>
          <t>A</t>
        </is>
      </c>
      <c r="H8" s="2" t="n">
        <v>1</v>
      </c>
      <c r="I8" s="2" t="n">
        <v>0.0015</v>
      </c>
      <c r="J8" s="2" t="n">
        <v>0.0015</v>
      </c>
      <c r="K8" s="2" t="n">
        <v>0.09</v>
      </c>
      <c r="L8" t="inlineStr">
        <is>
          <t>Complete</t>
        </is>
      </c>
    </row>
    <row r="9">
      <c r="A9" t="inlineStr">
        <is>
          <t>Low</t>
        </is>
      </c>
      <c r="B9" t="inlineStr">
        <is>
          <t>Planner</t>
        </is>
      </c>
      <c r="C9" t="inlineStr">
        <is>
          <t>Main step</t>
        </is>
      </c>
      <c r="D9" t="inlineStr">
        <is>
          <t>model</t>
        </is>
      </c>
      <c r="E9" t="inlineStr">
        <is>
          <t>1</t>
        </is>
      </c>
      <c r="F9" t="inlineStr">
        <is>
          <t>93dba26d-9ed9-495e-b7b3-2f42f5876fe5</t>
        </is>
      </c>
      <c r="G9" t="inlineStr">
        <is>
          <t>A</t>
        </is>
      </c>
      <c r="H9" s="2" t="n">
        <v>1</v>
      </c>
      <c r="I9" s="2" t="n">
        <v>0.0015</v>
      </c>
      <c r="J9" s="2" t="n">
        <v>0.0015</v>
      </c>
      <c r="K9" s="2" t="n">
        <v>0.9</v>
      </c>
      <c r="L9" t="inlineStr">
        <is>
          <t>Complete</t>
        </is>
      </c>
    </row>
    <row r="10">
      <c r="A10" t="inlineStr">
        <is>
          <t>Low</t>
        </is>
      </c>
      <c r="B10" t="inlineStr">
        <is>
          <t>Planner</t>
        </is>
      </c>
      <c r="C10" t="inlineStr">
        <is>
          <t>Route request</t>
        </is>
      </c>
      <c r="D10" t="inlineStr">
        <is>
          <t>agent</t>
        </is>
      </c>
      <c r="E10" t="inlineStr">
        <is>
          <t>1</t>
        </is>
      </c>
      <c r="F10" t="inlineStr">
        <is>
          <t>cafa6cc1-83cf-442b-afc4-35b65a9c3bdc</t>
        </is>
      </c>
      <c r="G10" t="inlineStr">
        <is>
          <t>alice</t>
        </is>
      </c>
      <c r="H10" s="2" t="n">
        <v>0.5</v>
      </c>
      <c r="I10" s="2" t="n">
        <v>0.0015</v>
      </c>
      <c r="J10" s="2" t="n">
        <v>0.00075</v>
      </c>
      <c r="K10" s="2" t="n">
        <v>1.35</v>
      </c>
      <c r="L10" t="inlineStr">
        <is>
          <t>Complete</t>
        </is>
      </c>
    </row>
    <row r="11">
      <c r="A11" t="inlineStr">
        <is>
          <t>Low</t>
        </is>
      </c>
      <c r="B11" t="inlineStr">
        <is>
          <t>Planner</t>
        </is>
      </c>
      <c r="C11" t="inlineStr">
        <is>
          <t>Route request</t>
        </is>
      </c>
      <c r="D11" t="inlineStr">
        <is>
          <t>agent</t>
        </is>
      </c>
      <c r="E11" t="inlineStr">
        <is>
          <t>1</t>
        </is>
      </c>
      <c r="F11" t="inlineStr">
        <is>
          <t>18824f9c-c400-4c63-b33b-7acfa95fa394</t>
        </is>
      </c>
      <c r="G11" t="inlineStr">
        <is>
          <t>cara</t>
        </is>
      </c>
      <c r="H11" s="2" t="n">
        <v>0.5</v>
      </c>
      <c r="I11" s="2" t="n">
        <v>0.003</v>
      </c>
      <c r="J11" s="2" t="n">
        <v>0.0015</v>
      </c>
      <c r="K11" s="2" t="n">
        <v>1.35</v>
      </c>
      <c r="L11" t="inlineStr">
        <is>
          <t>Complete</t>
        </is>
      </c>
    </row>
    <row r="12">
      <c r="A12" t="inlineStr">
        <is>
          <t>Expected</t>
        </is>
      </c>
      <c r="B12" t="inlineStr">
        <is>
          <t>Root settings</t>
        </is>
      </c>
      <c r="C12" t="inlineStr">
        <is>
          <t>Main step</t>
        </is>
      </c>
      <c r="D12" t="inlineStr">
        <is>
          <t>model</t>
        </is>
      </c>
      <c r="E12" t="inlineStr">
        <is>
          <t>1</t>
        </is>
      </c>
      <c r="F12" t="inlineStr">
        <is>
          <t>roots-model-model</t>
        </is>
      </c>
      <c r="G12" t="inlineStr">
        <is>
          <t>A</t>
        </is>
      </c>
      <c r="H12" s="2" t="n">
        <v>1</v>
      </c>
      <c r="I12" s="2" t="n">
        <v>0.002</v>
      </c>
      <c r="J12" s="2" t="n">
        <v>0.002</v>
      </c>
      <c r="K12" s="2" t="n">
        <v>0.6</v>
      </c>
      <c r="L12" t="inlineStr">
        <is>
          <t>Complete</t>
        </is>
      </c>
    </row>
    <row r="13">
      <c r="A13" t="inlineStr">
        <is>
          <t>Expected</t>
        </is>
      </c>
      <c r="B13" t="inlineStr">
        <is>
          <t>Root settings</t>
        </is>
      </c>
      <c r="C13" t="inlineStr">
        <is>
          <t>Route request</t>
        </is>
      </c>
      <c r="D13" t="inlineStr">
        <is>
          <t>agent</t>
        </is>
      </c>
      <c r="E13" t="inlineStr">
        <is>
          <t>1</t>
        </is>
      </c>
      <c r="F13" t="inlineStr">
        <is>
          <t>alice-option</t>
        </is>
      </c>
      <c r="G13" t="inlineStr">
        <is>
          <t>alice</t>
        </is>
      </c>
      <c r="H13" s="2" t="n">
        <v>0.8</v>
      </c>
      <c r="I13" s="2" t="n">
        <v>0.002</v>
      </c>
      <c r="J13" s="2" t="n">
        <v>0.0016</v>
      </c>
      <c r="K13" s="2" t="n">
        <v>0.6</v>
      </c>
      <c r="L13" t="inlineStr">
        <is>
          <t>Complete</t>
        </is>
      </c>
    </row>
    <row r="14">
      <c r="A14" t="inlineStr">
        <is>
          <t>Expected</t>
        </is>
      </c>
      <c r="B14" t="inlineStr">
        <is>
          <t>Root settings</t>
        </is>
      </c>
      <c r="C14" t="inlineStr">
        <is>
          <t>Route request</t>
        </is>
      </c>
      <c r="D14" t="inlineStr">
        <is>
          <t>agent</t>
        </is>
      </c>
      <c r="E14" t="inlineStr">
        <is>
          <t>1</t>
        </is>
      </c>
      <c r="F14" t="inlineStr">
        <is>
          <t>bob-option</t>
        </is>
      </c>
      <c r="G14" t="inlineStr">
        <is>
          <t>bob</t>
        </is>
      </c>
      <c r="H14" s="2" t="n">
        <v>0.2</v>
      </c>
      <c r="I14" s="2" t="n">
        <v>0.002</v>
      </c>
      <c r="J14" s="2" t="n">
        <v>0.0004</v>
      </c>
      <c r="K14" s="2" t="n">
        <v>0.6</v>
      </c>
      <c r="L14" t="inlineStr">
        <is>
          <t>Complete</t>
        </is>
      </c>
    </row>
    <row r="15">
      <c r="A15" t="inlineStr">
        <is>
          <t>Expected</t>
        </is>
      </c>
      <c r="B15" t="inlineStr">
        <is>
          <t>Dana</t>
        </is>
      </c>
      <c r="C15" t="inlineStr">
        <is>
          <t>Main step</t>
        </is>
      </c>
      <c r="D15" t="inlineStr">
        <is>
          <t>model</t>
        </is>
      </c>
      <c r="E15" t="inlineStr">
        <is>
          <t>1</t>
        </is>
      </c>
      <c r="F15" t="inlineStr">
        <is>
          <t>workers-model-model</t>
        </is>
      </c>
      <c r="G15" t="inlineStr">
        <is>
          <t>A</t>
        </is>
      </c>
      <c r="H15" s="2" t="n">
        <v>1</v>
      </c>
      <c r="I15" s="2" t="n">
        <v>0.002</v>
      </c>
      <c r="J15" s="2" t="n">
        <v>0.002</v>
      </c>
      <c r="K15" s="2" t="n">
        <v>0.06</v>
      </c>
      <c r="L15" t="inlineStr">
        <is>
          <t>Complete</t>
        </is>
      </c>
    </row>
    <row r="16">
      <c r="A16" t="inlineStr">
        <is>
          <t>Expected</t>
        </is>
      </c>
      <c r="B16" t="inlineStr">
        <is>
          <t>Cara</t>
        </is>
      </c>
      <c r="C16" t="inlineStr">
        <is>
          <t>Main step</t>
        </is>
      </c>
      <c r="D16" t="inlineStr">
        <is>
          <t>model</t>
        </is>
      </c>
      <c r="E16" t="inlineStr">
        <is>
          <t>1</t>
        </is>
      </c>
      <c r="F16" t="inlineStr">
        <is>
          <t>29d5e6e2-724b-5266-8162-2354e09e660e</t>
        </is>
      </c>
      <c r="G16" t="inlineStr">
        <is>
          <t>A</t>
        </is>
      </c>
      <c r="H16" s="2" t="n">
        <v>1</v>
      </c>
      <c r="I16" s="2" t="n">
        <v>0.004</v>
      </c>
      <c r="J16" s="2" t="n">
        <v>0.004</v>
      </c>
      <c r="K16" s="2" t="n">
        <v>1.2</v>
      </c>
      <c r="L16" t="inlineStr">
        <is>
          <t>Complete</t>
        </is>
      </c>
    </row>
    <row r="17">
      <c r="A17" t="inlineStr">
        <is>
          <t>Expected</t>
        </is>
      </c>
      <c r="B17" t="inlineStr">
        <is>
          <t>Alice</t>
        </is>
      </c>
      <c r="C17" t="inlineStr">
        <is>
          <t>Main step</t>
        </is>
      </c>
      <c r="D17" t="inlineStr">
        <is>
          <t>model</t>
        </is>
      </c>
      <c r="E17" t="inlineStr">
        <is>
          <t>1</t>
        </is>
      </c>
      <c r="F17" t="inlineStr">
        <is>
          <t>d52a4276-6c36-5e29-8db9-fd63d3248b5b</t>
        </is>
      </c>
      <c r="G17" t="inlineStr">
        <is>
          <t>A</t>
        </is>
      </c>
      <c r="H17" s="2" t="n">
        <v>1</v>
      </c>
      <c r="I17" s="2" t="n">
        <v>0.002</v>
      </c>
      <c r="J17" s="2" t="n">
        <v>0.002</v>
      </c>
      <c r="K17" s="2" t="n">
        <v>1.08</v>
      </c>
      <c r="L17" t="inlineStr">
        <is>
          <t>Complete</t>
        </is>
      </c>
    </row>
    <row r="18">
      <c r="A18" t="inlineStr">
        <is>
          <t>Expected</t>
        </is>
      </c>
      <c r="B18" t="inlineStr">
        <is>
          <t>Bob</t>
        </is>
      </c>
      <c r="C18" t="inlineStr">
        <is>
          <t>Main step</t>
        </is>
      </c>
      <c r="D18" t="inlineStr">
        <is>
          <t>model</t>
        </is>
      </c>
      <c r="E18" t="inlineStr">
        <is>
          <t>1</t>
        </is>
      </c>
      <c r="F18" t="inlineStr">
        <is>
          <t>7e5b319c-b14a-57ba-a810-96c118183a0d</t>
        </is>
      </c>
      <c r="G18" t="inlineStr">
        <is>
          <t>A</t>
        </is>
      </c>
      <c r="H18" s="2" t="n">
        <v>1</v>
      </c>
      <c r="I18" s="2" t="n">
        <v>0.002</v>
      </c>
      <c r="J18" s="2" t="n">
        <v>0.002</v>
      </c>
      <c r="K18" s="2" t="n">
        <v>0.12</v>
      </c>
      <c r="L18" t="inlineStr">
        <is>
          <t>Complete</t>
        </is>
      </c>
    </row>
    <row r="19">
      <c r="A19" t="inlineStr">
        <is>
          <t>Expected</t>
        </is>
      </c>
      <c r="B19" t="inlineStr">
        <is>
          <t>Planner</t>
        </is>
      </c>
      <c r="C19" t="inlineStr">
        <is>
          <t>Main step</t>
        </is>
      </c>
      <c r="D19" t="inlineStr">
        <is>
          <t>model</t>
        </is>
      </c>
      <c r="E19" t="inlineStr">
        <is>
          <t>1</t>
        </is>
      </c>
      <c r="F19" t="inlineStr">
        <is>
          <t>93dba26d-9ed9-495e-b7b3-2f42f5876fe5</t>
        </is>
      </c>
      <c r="G19" t="inlineStr">
        <is>
          <t>A</t>
        </is>
      </c>
      <c r="H19" s="2" t="n">
        <v>1</v>
      </c>
      <c r="I19" s="2" t="n">
        <v>0.002</v>
      </c>
      <c r="J19" s="2" t="n">
        <v>0.002</v>
      </c>
      <c r="K19" s="2" t="n">
        <v>1.2</v>
      </c>
      <c r="L19" t="inlineStr">
        <is>
          <t>Complete</t>
        </is>
      </c>
    </row>
    <row r="20">
      <c r="A20" t="inlineStr">
        <is>
          <t>Expected</t>
        </is>
      </c>
      <c r="B20" t="inlineStr">
        <is>
          <t>Planner</t>
        </is>
      </c>
      <c r="C20" t="inlineStr">
        <is>
          <t>Route request</t>
        </is>
      </c>
      <c r="D20" t="inlineStr">
        <is>
          <t>agent</t>
        </is>
      </c>
      <c r="E20" t="inlineStr">
        <is>
          <t>1</t>
        </is>
      </c>
      <c r="F20" t="inlineStr">
        <is>
          <t>cafa6cc1-83cf-442b-afc4-35b65a9c3bdc</t>
        </is>
      </c>
      <c r="G20" t="inlineStr">
        <is>
          <t>alice</t>
        </is>
      </c>
      <c r="H20" s="2" t="n">
        <v>0.5</v>
      </c>
      <c r="I20" s="2" t="n">
        <v>0.002</v>
      </c>
      <c r="J20" s="2" t="n">
        <v>0.001</v>
      </c>
      <c r="K20" s="2" t="n">
        <v>1.8</v>
      </c>
      <c r="L20" t="inlineStr">
        <is>
          <t>Complete</t>
        </is>
      </c>
    </row>
    <row r="21">
      <c r="A21" t="inlineStr">
        <is>
          <t>Expected</t>
        </is>
      </c>
      <c r="B21" t="inlineStr">
        <is>
          <t>Planner</t>
        </is>
      </c>
      <c r="C21" t="inlineStr">
        <is>
          <t>Route request</t>
        </is>
      </c>
      <c r="D21" t="inlineStr">
        <is>
          <t>agent</t>
        </is>
      </c>
      <c r="E21" t="inlineStr">
        <is>
          <t>1</t>
        </is>
      </c>
      <c r="F21" t="inlineStr">
        <is>
          <t>18824f9c-c400-4c63-b33b-7acfa95fa394</t>
        </is>
      </c>
      <c r="G21" t="inlineStr">
        <is>
          <t>cara</t>
        </is>
      </c>
      <c r="H21" s="2" t="n">
        <v>0.5</v>
      </c>
      <c r="I21" s="2" t="n">
        <v>0.004</v>
      </c>
      <c r="J21" s="2" t="n">
        <v>0.002</v>
      </c>
      <c r="K21" s="2" t="n">
        <v>1.8</v>
      </c>
      <c r="L21" t="inlineStr">
        <is>
          <t>Complete</t>
        </is>
      </c>
    </row>
    <row r="22">
      <c r="A22" t="inlineStr">
        <is>
          <t>High</t>
        </is>
      </c>
      <c r="B22" t="inlineStr">
        <is>
          <t>Root settings</t>
        </is>
      </c>
      <c r="C22" t="inlineStr">
        <is>
          <t>Main step</t>
        </is>
      </c>
      <c r="D22" t="inlineStr">
        <is>
          <t>model</t>
        </is>
      </c>
      <c r="E22" t="inlineStr">
        <is>
          <t>1</t>
        </is>
      </c>
      <c r="F22" t="inlineStr">
        <is>
          <t>roots-model-model</t>
        </is>
      </c>
      <c r="G22" t="inlineStr">
        <is>
          <t>A</t>
        </is>
      </c>
      <c r="H22" s="2" t="n">
        <v>1</v>
      </c>
      <c r="I22" s="2" t="n">
        <v>0.003</v>
      </c>
      <c r="J22" s="2" t="n">
        <v>0.003</v>
      </c>
      <c r="K22" s="2" t="n">
        <v>0.9</v>
      </c>
      <c r="L22" t="inlineStr">
        <is>
          <t>Complete</t>
        </is>
      </c>
    </row>
    <row r="23">
      <c r="A23" t="inlineStr">
        <is>
          <t>High</t>
        </is>
      </c>
      <c r="B23" t="inlineStr">
        <is>
          <t>Root settings</t>
        </is>
      </c>
      <c r="C23" t="inlineStr">
        <is>
          <t>Route request</t>
        </is>
      </c>
      <c r="D23" t="inlineStr">
        <is>
          <t>agent</t>
        </is>
      </c>
      <c r="E23" t="inlineStr">
        <is>
          <t>1</t>
        </is>
      </c>
      <c r="F23" t="inlineStr">
        <is>
          <t>alice-option</t>
        </is>
      </c>
      <c r="G23" t="inlineStr">
        <is>
          <t>alice</t>
        </is>
      </c>
      <c r="H23" s="2" t="n">
        <v>0.8</v>
      </c>
      <c r="I23" s="2" t="n">
        <v>0.003</v>
      </c>
      <c r="J23" s="2" t="n">
        <v>0.0024</v>
      </c>
      <c r="K23" s="2" t="n">
        <v>0.9</v>
      </c>
      <c r="L23" t="inlineStr">
        <is>
          <t>Complete</t>
        </is>
      </c>
    </row>
    <row r="24">
      <c r="A24" t="inlineStr">
        <is>
          <t>High</t>
        </is>
      </c>
      <c r="B24" t="inlineStr">
        <is>
          <t>Root settings</t>
        </is>
      </c>
      <c r="C24" t="inlineStr">
        <is>
          <t>Route request</t>
        </is>
      </c>
      <c r="D24" t="inlineStr">
        <is>
          <t>agent</t>
        </is>
      </c>
      <c r="E24" t="inlineStr">
        <is>
          <t>1</t>
        </is>
      </c>
      <c r="F24" t="inlineStr">
        <is>
          <t>bob-option</t>
        </is>
      </c>
      <c r="G24" t="inlineStr">
        <is>
          <t>bob</t>
        </is>
      </c>
      <c r="H24" s="2" t="n">
        <v>0.2</v>
      </c>
      <c r="I24" s="2" t="n">
        <v>0.003</v>
      </c>
      <c r="J24" s="2" t="n">
        <v>0.0005999999999999999</v>
      </c>
      <c r="K24" s="2" t="n">
        <v>0.9</v>
      </c>
      <c r="L24" t="inlineStr">
        <is>
          <t>Complete</t>
        </is>
      </c>
    </row>
    <row r="25">
      <c r="A25" t="inlineStr">
        <is>
          <t>High</t>
        </is>
      </c>
      <c r="B25" t="inlineStr">
        <is>
          <t>Dana</t>
        </is>
      </c>
      <c r="C25" t="inlineStr">
        <is>
          <t>Main step</t>
        </is>
      </c>
      <c r="D25" t="inlineStr">
        <is>
          <t>model</t>
        </is>
      </c>
      <c r="E25" t="inlineStr">
        <is>
          <t>1</t>
        </is>
      </c>
      <c r="F25" t="inlineStr">
        <is>
          <t>workers-model-model</t>
        </is>
      </c>
      <c r="G25" t="inlineStr">
        <is>
          <t>A</t>
        </is>
      </c>
      <c r="H25" s="2" t="n">
        <v>1</v>
      </c>
      <c r="I25" s="2" t="n">
        <v>0.003</v>
      </c>
      <c r="J25" s="2" t="n">
        <v>0.003</v>
      </c>
      <c r="K25" s="2" t="n">
        <v>0.09</v>
      </c>
      <c r="L25" t="inlineStr">
        <is>
          <t>Complete</t>
        </is>
      </c>
    </row>
    <row r="26">
      <c r="A26" t="inlineStr">
        <is>
          <t>High</t>
        </is>
      </c>
      <c r="B26" t="inlineStr">
        <is>
          <t>Cara</t>
        </is>
      </c>
      <c r="C26" t="inlineStr">
        <is>
          <t>Main step</t>
        </is>
      </c>
      <c r="D26" t="inlineStr">
        <is>
          <t>model</t>
        </is>
      </c>
      <c r="E26" t="inlineStr">
        <is>
          <t>1</t>
        </is>
      </c>
      <c r="F26" t="inlineStr">
        <is>
          <t>29d5e6e2-724b-5266-8162-2354e09e660e</t>
        </is>
      </c>
      <c r="G26" t="inlineStr">
        <is>
          <t>A</t>
        </is>
      </c>
      <c r="H26" s="2" t="n">
        <v>1</v>
      </c>
      <c r="I26" s="2" t="n">
        <v>0.006</v>
      </c>
      <c r="J26" s="2" t="n">
        <v>0.006</v>
      </c>
      <c r="K26" s="2" t="n">
        <v>1.8</v>
      </c>
      <c r="L26" t="inlineStr">
        <is>
          <t>Complete</t>
        </is>
      </c>
    </row>
    <row r="27">
      <c r="A27" t="inlineStr">
        <is>
          <t>High</t>
        </is>
      </c>
      <c r="B27" t="inlineStr">
        <is>
          <t>Alice</t>
        </is>
      </c>
      <c r="C27" t="inlineStr">
        <is>
          <t>Main step</t>
        </is>
      </c>
      <c r="D27" t="inlineStr">
        <is>
          <t>model</t>
        </is>
      </c>
      <c r="E27" t="inlineStr">
        <is>
          <t>1</t>
        </is>
      </c>
      <c r="F27" t="inlineStr">
        <is>
          <t>d52a4276-6c36-5e29-8db9-fd63d3248b5b</t>
        </is>
      </c>
      <c r="G27" t="inlineStr">
        <is>
          <t>A</t>
        </is>
      </c>
      <c r="H27" s="2" t="n">
        <v>1</v>
      </c>
      <c r="I27" s="2" t="n">
        <v>0.003</v>
      </c>
      <c r="J27" s="2" t="n">
        <v>0.003</v>
      </c>
      <c r="K27" s="2" t="n">
        <v>1.62</v>
      </c>
      <c r="L27" t="inlineStr">
        <is>
          <t>Complete</t>
        </is>
      </c>
    </row>
    <row r="28">
      <c r="A28" t="inlineStr">
        <is>
          <t>High</t>
        </is>
      </c>
      <c r="B28" t="inlineStr">
        <is>
          <t>Bob</t>
        </is>
      </c>
      <c r="C28" t="inlineStr">
        <is>
          <t>Main step</t>
        </is>
      </c>
      <c r="D28" t="inlineStr">
        <is>
          <t>model</t>
        </is>
      </c>
      <c r="E28" t="inlineStr">
        <is>
          <t>1</t>
        </is>
      </c>
      <c r="F28" t="inlineStr">
        <is>
          <t>7e5b319c-b14a-57ba-a810-96c118183a0d</t>
        </is>
      </c>
      <c r="G28" t="inlineStr">
        <is>
          <t>A</t>
        </is>
      </c>
      <c r="H28" s="2" t="n">
        <v>1</v>
      </c>
      <c r="I28" s="2" t="n">
        <v>0.003</v>
      </c>
      <c r="J28" s="2" t="n">
        <v>0.003</v>
      </c>
      <c r="K28" s="2" t="n">
        <v>0.18</v>
      </c>
      <c r="L28" t="inlineStr">
        <is>
          <t>Complete</t>
        </is>
      </c>
    </row>
    <row r="29">
      <c r="A29" t="inlineStr">
        <is>
          <t>High</t>
        </is>
      </c>
      <c r="B29" t="inlineStr">
        <is>
          <t>Planner</t>
        </is>
      </c>
      <c r="C29" t="inlineStr">
        <is>
          <t>Main step</t>
        </is>
      </c>
      <c r="D29" t="inlineStr">
        <is>
          <t>model</t>
        </is>
      </c>
      <c r="E29" t="inlineStr">
        <is>
          <t>1</t>
        </is>
      </c>
      <c r="F29" t="inlineStr">
        <is>
          <t>93dba26d-9ed9-495e-b7b3-2f42f5876fe5</t>
        </is>
      </c>
      <c r="G29" t="inlineStr">
        <is>
          <t>A</t>
        </is>
      </c>
      <c r="H29" s="2" t="n">
        <v>1</v>
      </c>
      <c r="I29" s="2" t="n">
        <v>0.003</v>
      </c>
      <c r="J29" s="2" t="n">
        <v>0.003</v>
      </c>
      <c r="K29" s="2" t="n">
        <v>1.8</v>
      </c>
      <c r="L29" t="inlineStr">
        <is>
          <t>Complete</t>
        </is>
      </c>
    </row>
    <row r="30">
      <c r="A30" t="inlineStr">
        <is>
          <t>High</t>
        </is>
      </c>
      <c r="B30" t="inlineStr">
        <is>
          <t>Planner</t>
        </is>
      </c>
      <c r="C30" t="inlineStr">
        <is>
          <t>Route request</t>
        </is>
      </c>
      <c r="D30" t="inlineStr">
        <is>
          <t>agent</t>
        </is>
      </c>
      <c r="E30" t="inlineStr">
        <is>
          <t>1</t>
        </is>
      </c>
      <c r="F30" t="inlineStr">
        <is>
          <t>cafa6cc1-83cf-442b-afc4-35b65a9c3bdc</t>
        </is>
      </c>
      <c r="G30" t="inlineStr">
        <is>
          <t>alice</t>
        </is>
      </c>
      <c r="H30" s="2" t="n">
        <v>0.5</v>
      </c>
      <c r="I30" s="2" t="n">
        <v>0.003</v>
      </c>
      <c r="J30" s="2" t="n">
        <v>0.0015</v>
      </c>
      <c r="K30" s="2" t="n">
        <v>2.7</v>
      </c>
      <c r="L30" t="inlineStr">
        <is>
          <t>Complete</t>
        </is>
      </c>
    </row>
    <row r="31">
      <c r="A31" t="inlineStr">
        <is>
          <t>High</t>
        </is>
      </c>
      <c r="B31" t="inlineStr">
        <is>
          <t>Planner</t>
        </is>
      </c>
      <c r="C31" t="inlineStr">
        <is>
          <t>Route request</t>
        </is>
      </c>
      <c r="D31" t="inlineStr">
        <is>
          <t>agent</t>
        </is>
      </c>
      <c r="E31" t="inlineStr">
        <is>
          <t>1</t>
        </is>
      </c>
      <c r="F31" t="inlineStr">
        <is>
          <t>18824f9c-c400-4c63-b33b-7acfa95fa394</t>
        </is>
      </c>
      <c r="G31" t="inlineStr">
        <is>
          <t>cara</t>
        </is>
      </c>
      <c r="H31" s="2" t="n">
        <v>0.5</v>
      </c>
      <c r="I31" s="2" t="n">
        <v>0.006</v>
      </c>
      <c r="J31" s="2" t="n">
        <v>0.003</v>
      </c>
      <c r="K31" s="2" t="n">
        <v>2.7</v>
      </c>
      <c r="L31" t="inlineStr">
        <is>
          <t>Complete</t>
        </is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roots</t>
        </is>
      </c>
      <c r="B2" t="inlineStr">
        <is>
          <t>Root settings</t>
        </is>
      </c>
      <c r="C2" t="inlineStr">
        <is>
          <t>root-two</t>
        </is>
      </c>
      <c r="D2" t="inlineStr">
        <is>
          <t>Root two</t>
        </is>
      </c>
      <c r="E2" t="inlineStr">
        <is>
          <t>Root two handles a request</t>
        </is>
      </c>
    </row>
    <row r="3">
      <c r="A3" t="inlineStr">
        <is>
          <t>workers</t>
        </is>
      </c>
      <c r="B3" t="inlineStr">
        <is>
          <t>Dana</t>
        </is>
      </c>
      <c r="C3" t="inlineStr">
        <is>
          <t>dana</t>
        </is>
      </c>
      <c r="D3" t="inlineStr">
        <is>
          <t>Dana</t>
        </is>
      </c>
      <c r="E3" t="inlineStr">
        <is>
          <t>Dana handles a request</t>
        </is>
      </c>
    </row>
    <row r="4">
      <c r="A4" t="inlineStr">
        <is>
          <t>618b142e-479e-5316-a81a-328f2600740b</t>
        </is>
      </c>
      <c r="B4" t="inlineStr">
        <is>
          <t>Cara</t>
        </is>
      </c>
      <c r="C4" t="inlineStr">
        <is>
          <t>cara</t>
        </is>
      </c>
      <c r="D4" t="inlineStr">
        <is>
          <t>Cara</t>
        </is>
      </c>
      <c r="E4" t="inlineStr">
        <is>
          <t>Cara handles a request</t>
        </is>
      </c>
    </row>
    <row r="5">
      <c r="A5" t="inlineStr">
        <is>
          <t>0cf7c3b1-0070-5077-bed0-8281b50fc962</t>
        </is>
      </c>
      <c r="B5" t="inlineStr">
        <is>
          <t>Alice</t>
        </is>
      </c>
      <c r="C5" t="inlineStr">
        <is>
          <t>alice</t>
        </is>
      </c>
      <c r="D5" t="inlineStr">
        <is>
          <t>Alice</t>
        </is>
      </c>
      <c r="E5" t="inlineStr">
        <is>
          <t>Alice handles a request</t>
        </is>
      </c>
    </row>
    <row r="6">
      <c r="A6" t="inlineStr">
        <is>
          <t>beffca0d-fd5d-5fcc-b777-44b69b21da02</t>
        </is>
      </c>
      <c r="B6" t="inlineStr">
        <is>
          <t>Bob</t>
        </is>
      </c>
      <c r="C6" t="inlineStr">
        <is>
          <t>bob</t>
        </is>
      </c>
      <c r="D6" t="inlineStr">
        <is>
          <t>Bob</t>
        </is>
      </c>
      <c r="E6" t="inlineStr">
        <is>
          <t>Bob handles a request</t>
        </is>
      </c>
    </row>
    <row r="7">
      <c r="A7" t="inlineStr">
        <is>
          <t>77c9c118-08c1-414b-b395-8ffc9280694c</t>
        </is>
      </c>
      <c r="B7" t="inlineStr">
        <is>
          <t>Planner</t>
        </is>
      </c>
      <c r="C7" t="inlineStr">
        <is>
          <t>root-one</t>
        </is>
      </c>
      <c r="D7" t="inlineStr">
        <is>
          <t>Planner</t>
        </is>
      </c>
      <c r="E7" t="inlineStr">
        <is>
          <t>Root one handles a request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Root settings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roots</t>
        </is>
      </c>
    </row>
    <row r="3">
      <c r="A3" t="inlineStr">
        <is>
          <t>Dana</t>
        </is>
      </c>
      <c r="B3" t="inlineStr">
        <is>
          <t>simple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1000</v>
      </c>
      <c r="I3" s="2">
        <f>IF(D3="daily_users",E3*F3*G3,H3)</f>
        <v/>
      </c>
      <c r="J3" s="2">
        <f>C3*I3</f>
        <v/>
      </c>
      <c r="K3" t="inlineStr">
        <is>
          <t>workers</t>
        </is>
      </c>
    </row>
    <row r="4">
      <c r="A4" t="inlineStr">
        <is>
          <t>Cara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1</v>
      </c>
      <c r="F4" s="2" t="n">
        <v>1</v>
      </c>
      <c r="G4" s="2" t="n">
        <v>30</v>
      </c>
      <c r="H4" s="2" t="n">
        <v>1000</v>
      </c>
      <c r="I4" s="2" t="n">
        <v>300</v>
      </c>
      <c r="J4" s="2">
        <f>C4*I4</f>
        <v/>
      </c>
      <c r="K4" t="inlineStr">
        <is>
          <t>618b142e-479e-5316-a81a-328f2600740b</t>
        </is>
      </c>
      <c r="L4" t="inlineStr">
        <is>
          <t>daily_users</t>
        </is>
      </c>
    </row>
    <row r="5">
      <c r="A5" t="inlineStr">
        <is>
          <t>Alice</t>
        </is>
      </c>
      <c r="B5" t="inlineStr">
        <is>
          <t>simple</t>
        </is>
      </c>
      <c r="C5" s="2" t="n">
        <v>1</v>
      </c>
      <c r="D5" t="inlineStr">
        <is>
          <t>derived</t>
        </is>
      </c>
      <c r="E5" s="2" t="n">
        <v>1</v>
      </c>
      <c r="F5" s="2" t="n">
        <v>1</v>
      </c>
      <c r="G5" s="2" t="n">
        <v>30</v>
      </c>
      <c r="H5" s="2" t="n">
        <v>1000</v>
      </c>
      <c r="I5" s="2" t="n">
        <v>540</v>
      </c>
      <c r="J5" s="2">
        <f>C5*I5</f>
        <v/>
      </c>
      <c r="K5" t="inlineStr">
        <is>
          <t>0cf7c3b1-0070-5077-bed0-8281b50fc962</t>
        </is>
      </c>
      <c r="L5" t="inlineStr">
        <is>
          <t>daily_users</t>
        </is>
      </c>
    </row>
    <row r="6">
      <c r="A6" t="inlineStr">
        <is>
          <t>Bob</t>
        </is>
      </c>
      <c r="B6" t="inlineStr">
        <is>
          <t>simple</t>
        </is>
      </c>
      <c r="C6" s="2" t="n">
        <v>1</v>
      </c>
      <c r="D6" t="inlineStr">
        <is>
          <t>derived</t>
        </is>
      </c>
      <c r="E6" s="2" t="n">
        <v>1</v>
      </c>
      <c r="F6" s="2" t="n">
        <v>1</v>
      </c>
      <c r="G6" s="2" t="n">
        <v>30</v>
      </c>
      <c r="H6" s="2" t="n">
        <v>1000</v>
      </c>
      <c r="I6" s="2" t="n">
        <v>60</v>
      </c>
      <c r="J6" s="2">
        <f>C6*I6</f>
        <v/>
      </c>
      <c r="K6" t="inlineStr">
        <is>
          <t>beffca0d-fd5d-5fcc-b777-44b69b21da02</t>
        </is>
      </c>
      <c r="L6" t="inlineStr">
        <is>
          <t>daily_users</t>
        </is>
      </c>
    </row>
    <row r="7">
      <c r="A7" t="inlineStr">
        <is>
          <t>Planner</t>
        </is>
      </c>
      <c r="B7" t="inlineStr">
        <is>
          <t>simple</t>
        </is>
      </c>
      <c r="C7" s="2" t="n">
        <v>1</v>
      </c>
      <c r="D7" t="inlineStr">
        <is>
          <t>daily_users</t>
        </is>
      </c>
      <c r="E7" s="2" t="n">
        <v>20</v>
      </c>
      <c r="F7" s="2" t="n">
        <v>1</v>
      </c>
      <c r="G7" s="2" t="n">
        <v>30</v>
      </c>
      <c r="H7" s="2" t="n">
        <v>1000</v>
      </c>
      <c r="I7" s="2">
        <f>IF(D7="daily_users",E7*F7*G7,H7)</f>
        <v/>
      </c>
      <c r="J7" s="2">
        <f>C7*I7</f>
        <v/>
      </c>
      <c r="K7" t="inlineStr">
        <is>
          <t>77c9c118-08c1-414b-b395-8ffc9280694c</t>
        </is>
      </c>
    </row>
  </sheetData>
  <autoFilter ref="A1:L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Alice</t>
        </is>
      </c>
      <c r="D2" t="inlineStr">
        <is>
          <t>Route request</t>
        </is>
      </c>
      <c r="E2" s="2" t="n">
        <v>0.8</v>
      </c>
      <c r="F2" s="2" t="n">
        <v>300</v>
      </c>
      <c r="G2" s="2">
        <f>E2*F2*L2</f>
        <v/>
      </c>
      <c r="H2" t="inlineStr">
        <is>
          <t>Complete</t>
        </is>
      </c>
      <c r="I2" t="inlineStr">
        <is>
          <t>alice-option</t>
        </is>
      </c>
      <c r="J2" t="inlineStr">
        <is>
          <t>roots</t>
        </is>
      </c>
      <c r="K2" t="inlineStr">
        <is>
          <t>0cf7c3b1-0070-5077-bed0-8281b50fc962</t>
        </is>
      </c>
      <c r="L2" s="2" t="n">
        <v>1</v>
      </c>
    </row>
    <row r="3">
      <c r="A3" t="inlineStr">
        <is>
          <t>Low</t>
        </is>
      </c>
      <c r="B3" t="inlineStr">
        <is>
          <t>Root settings</t>
        </is>
      </c>
      <c r="C3" t="inlineStr">
        <is>
          <t>Bob</t>
        </is>
      </c>
      <c r="D3" t="inlineStr">
        <is>
          <t>Route request</t>
        </is>
      </c>
      <c r="E3" s="2" t="n">
        <v>0.2</v>
      </c>
      <c r="F3" s="2" t="n">
        <v>300</v>
      </c>
      <c r="G3" s="2">
        <f>E3*F3*L3</f>
        <v/>
      </c>
      <c r="H3" t="inlineStr">
        <is>
          <t>Complete</t>
        </is>
      </c>
      <c r="I3" t="inlineStr">
        <is>
          <t>bob-option</t>
        </is>
      </c>
      <c r="J3" t="inlineStr">
        <is>
          <t>roots</t>
        </is>
      </c>
      <c r="K3" t="inlineStr">
        <is>
          <t>beffca0d-fd5d-5fcc-b777-44b69b21da02</t>
        </is>
      </c>
      <c r="L3" s="2" t="n">
        <v>1</v>
      </c>
    </row>
    <row r="4">
      <c r="A4" t="inlineStr">
        <is>
          <t>Low</t>
        </is>
      </c>
      <c r="B4" t="inlineStr">
        <is>
          <t>Planner</t>
        </is>
      </c>
      <c r="C4" t="inlineStr">
        <is>
          <t>Alice</t>
        </is>
      </c>
      <c r="D4" t="inlineStr">
        <is>
          <t>Route request</t>
        </is>
      </c>
      <c r="E4" s="2" t="n">
        <v>0.5</v>
      </c>
      <c r="F4" s="2" t="n">
        <v>600</v>
      </c>
      <c r="G4" s="2">
        <f>E4*F4*L4</f>
        <v/>
      </c>
      <c r="H4" t="inlineStr">
        <is>
          <t>Complete</t>
        </is>
      </c>
      <c r="I4" t="inlineStr">
        <is>
          <t>cafa6cc1-83cf-442b-afc4-35b65a9c3bdc</t>
        </is>
      </c>
      <c r="J4" t="inlineStr">
        <is>
          <t>77c9c118-08c1-414b-b395-8ffc9280694c</t>
        </is>
      </c>
      <c r="K4" t="inlineStr">
        <is>
          <t>0cf7c3b1-0070-5077-bed0-8281b50fc962</t>
        </is>
      </c>
      <c r="L4" s="2" t="n">
        <v>1</v>
      </c>
    </row>
    <row r="5">
      <c r="A5" t="inlineStr">
        <is>
          <t>Low</t>
        </is>
      </c>
      <c r="B5" t="inlineStr">
        <is>
          <t>Planner</t>
        </is>
      </c>
      <c r="C5" t="inlineStr">
        <is>
          <t>Cara</t>
        </is>
      </c>
      <c r="D5" t="inlineStr">
        <is>
          <t>Route request</t>
        </is>
      </c>
      <c r="E5" s="2" t="n">
        <v>0.5</v>
      </c>
      <c r="F5" s="2" t="n">
        <v>600</v>
      </c>
      <c r="G5" s="2">
        <f>E5*F5*L5</f>
        <v/>
      </c>
      <c r="H5" t="inlineStr">
        <is>
          <t>Complete</t>
        </is>
      </c>
      <c r="I5" t="inlineStr">
        <is>
          <t>18824f9c-c400-4c63-b33b-7acfa95fa394</t>
        </is>
      </c>
      <c r="J5" t="inlineStr">
        <is>
          <t>77c9c118-08c1-414b-b395-8ffc9280694c</t>
        </is>
      </c>
      <c r="K5" t="inlineStr">
        <is>
          <t>618b142e-479e-5316-a81a-328f2600740b</t>
        </is>
      </c>
      <c r="L5" s="2" t="n">
        <v>1</v>
      </c>
    </row>
    <row r="6">
      <c r="A6" t="inlineStr">
        <is>
          <t>Expected</t>
        </is>
      </c>
      <c r="B6" t="inlineStr">
        <is>
          <t>Root settings</t>
        </is>
      </c>
      <c r="C6" t="inlineStr">
        <is>
          <t>Alice</t>
        </is>
      </c>
      <c r="D6" t="inlineStr">
        <is>
          <t>Route request</t>
        </is>
      </c>
      <c r="E6" s="2" t="n">
        <v>0.8</v>
      </c>
      <c r="F6" s="2" t="n">
        <v>300</v>
      </c>
      <c r="G6" s="2">
        <f>E6*F6*L6</f>
        <v/>
      </c>
      <c r="H6" t="inlineStr">
        <is>
          <t>Complete</t>
        </is>
      </c>
      <c r="I6" t="inlineStr">
        <is>
          <t>alice-option</t>
        </is>
      </c>
      <c r="J6" t="inlineStr">
        <is>
          <t>roots</t>
        </is>
      </c>
      <c r="K6" t="inlineStr">
        <is>
          <t>0cf7c3b1-0070-5077-bed0-8281b50fc962</t>
        </is>
      </c>
      <c r="L6" s="2" t="n">
        <v>1</v>
      </c>
    </row>
    <row r="7">
      <c r="A7" t="inlineStr">
        <is>
          <t>Expected</t>
        </is>
      </c>
      <c r="B7" t="inlineStr">
        <is>
          <t>Root settings</t>
        </is>
      </c>
      <c r="C7" t="inlineStr">
        <is>
          <t>Bob</t>
        </is>
      </c>
      <c r="D7" t="inlineStr">
        <is>
          <t>Route request</t>
        </is>
      </c>
      <c r="E7" s="2" t="n">
        <v>0.2</v>
      </c>
      <c r="F7" s="2" t="n">
        <v>300</v>
      </c>
      <c r="G7" s="2">
        <f>E7*F7*L7</f>
        <v/>
      </c>
      <c r="H7" t="inlineStr">
        <is>
          <t>Complete</t>
        </is>
      </c>
      <c r="I7" t="inlineStr">
        <is>
          <t>bob-option</t>
        </is>
      </c>
      <c r="J7" t="inlineStr">
        <is>
          <t>roots</t>
        </is>
      </c>
      <c r="K7" t="inlineStr">
        <is>
          <t>beffca0d-fd5d-5fcc-b777-44b69b21da02</t>
        </is>
      </c>
      <c r="L7" s="2" t="n">
        <v>1</v>
      </c>
    </row>
    <row r="8">
      <c r="A8" t="inlineStr">
        <is>
          <t>Expected</t>
        </is>
      </c>
      <c r="B8" t="inlineStr">
        <is>
          <t>Planner</t>
        </is>
      </c>
      <c r="C8" t="inlineStr">
        <is>
          <t>Alice</t>
        </is>
      </c>
      <c r="D8" t="inlineStr">
        <is>
          <t>Route request</t>
        </is>
      </c>
      <c r="E8" s="2" t="n">
        <v>0.5</v>
      </c>
      <c r="F8" s="2" t="n">
        <v>600</v>
      </c>
      <c r="G8" s="2">
        <f>E8*F8*L8</f>
        <v/>
      </c>
      <c r="H8" t="inlineStr">
        <is>
          <t>Complete</t>
        </is>
      </c>
      <c r="I8" t="inlineStr">
        <is>
          <t>cafa6cc1-83cf-442b-afc4-35b65a9c3bdc</t>
        </is>
      </c>
      <c r="J8" t="inlineStr">
        <is>
          <t>77c9c118-08c1-414b-b395-8ffc9280694c</t>
        </is>
      </c>
      <c r="K8" t="inlineStr">
        <is>
          <t>0cf7c3b1-0070-5077-bed0-8281b50fc962</t>
        </is>
      </c>
      <c r="L8" s="2" t="n">
        <v>1</v>
      </c>
    </row>
    <row r="9">
      <c r="A9" t="inlineStr">
        <is>
          <t>Expected</t>
        </is>
      </c>
      <c r="B9" t="inlineStr">
        <is>
          <t>Planner</t>
        </is>
      </c>
      <c r="C9" t="inlineStr">
        <is>
          <t>Cara</t>
        </is>
      </c>
      <c r="D9" t="inlineStr">
        <is>
          <t>Route request</t>
        </is>
      </c>
      <c r="E9" s="2" t="n">
        <v>0.5</v>
      </c>
      <c r="F9" s="2" t="n">
        <v>600</v>
      </c>
      <c r="G9" s="2">
        <f>E9*F9*L9</f>
        <v/>
      </c>
      <c r="H9" t="inlineStr">
        <is>
          <t>Complete</t>
        </is>
      </c>
      <c r="I9" t="inlineStr">
        <is>
          <t>18824f9c-c400-4c63-b33b-7acfa95fa394</t>
        </is>
      </c>
      <c r="J9" t="inlineStr">
        <is>
          <t>77c9c118-08c1-414b-b395-8ffc9280694c</t>
        </is>
      </c>
      <c r="K9" t="inlineStr">
        <is>
          <t>618b142e-479e-5316-a81a-328f2600740b</t>
        </is>
      </c>
      <c r="L9" s="2" t="n">
        <v>1</v>
      </c>
    </row>
    <row r="10">
      <c r="A10" t="inlineStr">
        <is>
          <t>High</t>
        </is>
      </c>
      <c r="B10" t="inlineStr">
        <is>
          <t>Root settings</t>
        </is>
      </c>
      <c r="C10" t="inlineStr">
        <is>
          <t>Alice</t>
        </is>
      </c>
      <c r="D10" t="inlineStr">
        <is>
          <t>Route request</t>
        </is>
      </c>
      <c r="E10" s="2" t="n">
        <v>0.8</v>
      </c>
      <c r="F10" s="2" t="n">
        <v>300</v>
      </c>
      <c r="G10" s="2">
        <f>E10*F10*L10</f>
        <v/>
      </c>
      <c r="H10" t="inlineStr">
        <is>
          <t>Complete</t>
        </is>
      </c>
      <c r="I10" t="inlineStr">
        <is>
          <t>alice-option</t>
        </is>
      </c>
      <c r="J10" t="inlineStr">
        <is>
          <t>roots</t>
        </is>
      </c>
      <c r="K10" t="inlineStr">
        <is>
          <t>0cf7c3b1-0070-5077-bed0-8281b50fc962</t>
        </is>
      </c>
      <c r="L10" s="2" t="n">
        <v>1</v>
      </c>
    </row>
    <row r="11">
      <c r="A11" t="inlineStr">
        <is>
          <t>High</t>
        </is>
      </c>
      <c r="B11" t="inlineStr">
        <is>
          <t>Root settings</t>
        </is>
      </c>
      <c r="C11" t="inlineStr">
        <is>
          <t>Bob</t>
        </is>
      </c>
      <c r="D11" t="inlineStr">
        <is>
          <t>Route request</t>
        </is>
      </c>
      <c r="E11" s="2" t="n">
        <v>0.2</v>
      </c>
      <c r="F11" s="2" t="n">
        <v>300</v>
      </c>
      <c r="G11" s="2">
        <f>E11*F11*L11</f>
        <v/>
      </c>
      <c r="H11" t="inlineStr">
        <is>
          <t>Complete</t>
        </is>
      </c>
      <c r="I11" t="inlineStr">
        <is>
          <t>bob-option</t>
        </is>
      </c>
      <c r="J11" t="inlineStr">
        <is>
          <t>roots</t>
        </is>
      </c>
      <c r="K11" t="inlineStr">
        <is>
          <t>beffca0d-fd5d-5fcc-b777-44b69b21da02</t>
        </is>
      </c>
      <c r="L11" s="2" t="n">
        <v>1</v>
      </c>
    </row>
    <row r="12">
      <c r="A12" t="inlineStr">
        <is>
          <t>High</t>
        </is>
      </c>
      <c r="B12" t="inlineStr">
        <is>
          <t>Planner</t>
        </is>
      </c>
      <c r="C12" t="inlineStr">
        <is>
          <t>Alice</t>
        </is>
      </c>
      <c r="D12" t="inlineStr">
        <is>
          <t>Route request</t>
        </is>
      </c>
      <c r="E12" s="2" t="n">
        <v>0.5</v>
      </c>
      <c r="F12" s="2" t="n">
        <v>600</v>
      </c>
      <c r="G12" s="2">
        <f>E12*F12*L12</f>
        <v/>
      </c>
      <c r="H12" t="inlineStr">
        <is>
          <t>Complete</t>
        </is>
      </c>
      <c r="I12" t="inlineStr">
        <is>
          <t>cafa6cc1-83cf-442b-afc4-35b65a9c3bdc</t>
        </is>
      </c>
      <c r="J12" t="inlineStr">
        <is>
          <t>77c9c118-08c1-414b-b395-8ffc9280694c</t>
        </is>
      </c>
      <c r="K12" t="inlineStr">
        <is>
          <t>0cf7c3b1-0070-5077-bed0-8281b50fc962</t>
        </is>
      </c>
      <c r="L12" s="2" t="n">
        <v>1</v>
      </c>
    </row>
    <row r="13">
      <c r="A13" t="inlineStr">
        <is>
          <t>High</t>
        </is>
      </c>
      <c r="B13" t="inlineStr">
        <is>
          <t>Planner</t>
        </is>
      </c>
      <c r="C13" t="inlineStr">
        <is>
          <t>Cara</t>
        </is>
      </c>
      <c r="D13" t="inlineStr">
        <is>
          <t>Route request</t>
        </is>
      </c>
      <c r="E13" s="2" t="n">
        <v>0.5</v>
      </c>
      <c r="F13" s="2" t="n">
        <v>600</v>
      </c>
      <c r="G13" s="2">
        <f>E13*F13*L13</f>
        <v/>
      </c>
      <c r="H13" t="inlineStr">
        <is>
          <t>Complete</t>
        </is>
      </c>
      <c r="I13" t="inlineStr">
        <is>
          <t>18824f9c-c400-4c63-b33b-7acfa95fa394</t>
        </is>
      </c>
      <c r="J13" t="inlineStr">
        <is>
          <t>77c9c118-08c1-414b-b395-8ffc9280694c</t>
        </is>
      </c>
      <c r="K13" t="inlineStr">
        <is>
          <t>618b142e-479e-5316-a81a-328f2600740b</t>
        </is>
      </c>
      <c r="L13" s="2" t="n">
        <v>1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1830</v>
      </c>
      <c r="F2" s="2" t="n">
        <v>0</v>
      </c>
      <c r="G2" s="2" t="n">
        <v>2730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1830</v>
      </c>
      <c r="F3" s="2" t="n">
        <v>0</v>
      </c>
      <c r="G3" s="2" t="n">
        <v>2730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1830</v>
      </c>
      <c r="F4" s="2" t="n">
        <v>0</v>
      </c>
      <c r="G4" s="2" t="n">
        <v>2730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Root settings</t>
        </is>
      </c>
      <c r="C2" t="inlineStr">
        <is>
          <t>Handle request</t>
        </is>
      </c>
      <c r="D2" s="2" t="n">
        <v>300</v>
      </c>
      <c r="E2" s="2" t="n">
        <v>0.0015</v>
      </c>
      <c r="F2" s="2" t="n">
        <v>0</v>
      </c>
      <c r="G2" s="2" t="n">
        <v>0.003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Dana</t>
        </is>
      </c>
      <c r="C3" t="inlineStr">
        <is>
          <t>Handle request</t>
        </is>
      </c>
      <c r="D3" s="2" t="n">
        <v>30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Cara</t>
        </is>
      </c>
      <c r="C4" t="inlineStr">
        <is>
          <t>Write response</t>
        </is>
      </c>
      <c r="D4" s="2" t="n">
        <v>300</v>
      </c>
      <c r="E4" s="2" t="n">
        <v>0.003</v>
      </c>
      <c r="F4" s="2" t="n">
        <v>0</v>
      </c>
      <c r="G4" s="2" t="n">
        <v>0.003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Alice</t>
        </is>
      </c>
      <c r="C5" t="inlineStr">
        <is>
          <t>Handle request</t>
        </is>
      </c>
      <c r="D5" s="2" t="n">
        <v>540</v>
      </c>
      <c r="E5" s="2" t="n">
        <v>0.0015</v>
      </c>
      <c r="F5" s="2" t="n">
        <v>0</v>
      </c>
      <c r="G5" s="2" t="n">
        <v>0.0015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Low</t>
        </is>
      </c>
      <c r="B6" t="inlineStr">
        <is>
          <t>Bob</t>
        </is>
      </c>
      <c r="C6" t="inlineStr">
        <is>
          <t>Handle request</t>
        </is>
      </c>
      <c r="D6" s="2" t="n">
        <v>60</v>
      </c>
      <c r="E6" s="2" t="n">
        <v>0.0015</v>
      </c>
      <c r="F6" s="2" t="n">
        <v>0</v>
      </c>
      <c r="G6" s="2" t="n">
        <v>0.0015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Low</t>
        </is>
      </c>
      <c r="B7" t="inlineStr">
        <is>
          <t>Planner</t>
        </is>
      </c>
      <c r="C7" t="inlineStr">
        <is>
          <t>Handle request</t>
        </is>
      </c>
      <c r="D7" s="2" t="n">
        <v>600</v>
      </c>
      <c r="E7" s="2" t="n">
        <v>0.0015</v>
      </c>
      <c r="F7" s="2" t="n">
        <v>0</v>
      </c>
      <c r="G7" s="2" t="n">
        <v>0.00375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Root settings</t>
        </is>
      </c>
      <c r="C8" t="inlineStr">
        <is>
          <t>Handle request</t>
        </is>
      </c>
      <c r="D8" s="2" t="n">
        <v>300</v>
      </c>
      <c r="E8" s="2" t="n">
        <v>0.002</v>
      </c>
      <c r="F8" s="2" t="n">
        <v>0</v>
      </c>
      <c r="G8" s="2" t="n">
        <v>0.004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Dana</t>
        </is>
      </c>
      <c r="C9" t="inlineStr">
        <is>
          <t>Handle request</t>
        </is>
      </c>
      <c r="D9" s="2" t="n">
        <v>30</v>
      </c>
      <c r="E9" s="2" t="n">
        <v>0.002</v>
      </c>
      <c r="F9" s="2" t="n">
        <v>0</v>
      </c>
      <c r="G9" s="2" t="n">
        <v>0.002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Expected</t>
        </is>
      </c>
      <c r="B10" t="inlineStr">
        <is>
          <t>Cara</t>
        </is>
      </c>
      <c r="C10" t="inlineStr">
        <is>
          <t>Write response</t>
        </is>
      </c>
      <c r="D10" s="2" t="n">
        <v>300</v>
      </c>
      <c r="E10" s="2" t="n">
        <v>0.004</v>
      </c>
      <c r="F10" s="2" t="n">
        <v>0</v>
      </c>
      <c r="G10" s="2" t="n">
        <v>0.004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Expected</t>
        </is>
      </c>
      <c r="B11" t="inlineStr">
        <is>
          <t>Alice</t>
        </is>
      </c>
      <c r="C11" t="inlineStr">
        <is>
          <t>Handle request</t>
        </is>
      </c>
      <c r="D11" s="2" t="n">
        <v>540</v>
      </c>
      <c r="E11" s="2" t="n">
        <v>0.002</v>
      </c>
      <c r="F11" s="2" t="n">
        <v>0</v>
      </c>
      <c r="G11" s="2" t="n">
        <v>0.002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Expected</t>
        </is>
      </c>
      <c r="B12" t="inlineStr">
        <is>
          <t>Bob</t>
        </is>
      </c>
      <c r="C12" t="inlineStr">
        <is>
          <t>Handle request</t>
        </is>
      </c>
      <c r="D12" s="2" t="n">
        <v>60</v>
      </c>
      <c r="E12" s="2" t="n">
        <v>0.002</v>
      </c>
      <c r="F12" s="2" t="n">
        <v>0</v>
      </c>
      <c r="G12" s="2" t="n">
        <v>0.002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Expected</t>
        </is>
      </c>
      <c r="B13" t="inlineStr">
        <is>
          <t>Planner</t>
        </is>
      </c>
      <c r="C13" t="inlineStr">
        <is>
          <t>Handle request</t>
        </is>
      </c>
      <c r="D13" s="2" t="n">
        <v>600</v>
      </c>
      <c r="E13" s="2" t="n">
        <v>0.002</v>
      </c>
      <c r="F13" s="2" t="n">
        <v>0</v>
      </c>
      <c r="G13" s="2" t="n">
        <v>0.005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  <row r="14">
      <c r="A14" t="inlineStr">
        <is>
          <t>High</t>
        </is>
      </c>
      <c r="B14" t="inlineStr">
        <is>
          <t>Root settings</t>
        </is>
      </c>
      <c r="C14" t="inlineStr">
        <is>
          <t>Handle request</t>
        </is>
      </c>
      <c r="D14" s="2" t="n">
        <v>300</v>
      </c>
      <c r="E14" s="2" t="n">
        <v>0.003</v>
      </c>
      <c r="F14" s="2" t="n">
        <v>0</v>
      </c>
      <c r="G14" s="2" t="n">
        <v>0.006</v>
      </c>
      <c r="H14" t="inlineStr">
        <is>
          <t>Complete</t>
        </is>
      </c>
      <c r="I14" t="inlineStr">
        <is>
          <t>Precomputed DAG rollup; inputs and direct calculations in other sheets</t>
        </is>
      </c>
    </row>
    <row r="15">
      <c r="A15" t="inlineStr">
        <is>
          <t>High</t>
        </is>
      </c>
      <c r="B15" t="inlineStr">
        <is>
          <t>Dana</t>
        </is>
      </c>
      <c r="C15" t="inlineStr">
        <is>
          <t>Handle request</t>
        </is>
      </c>
      <c r="D15" s="2" t="n">
        <v>30</v>
      </c>
      <c r="E15" s="2" t="n">
        <v>0.003</v>
      </c>
      <c r="F15" s="2" t="n">
        <v>0</v>
      </c>
      <c r="G15" s="2" t="n">
        <v>0.003</v>
      </c>
      <c r="H15" t="inlineStr">
        <is>
          <t>Complete</t>
        </is>
      </c>
      <c r="I15" t="inlineStr">
        <is>
          <t>Precomputed DAG rollup; inputs and direct calculations in other sheets</t>
        </is>
      </c>
    </row>
    <row r="16">
      <c r="A16" t="inlineStr">
        <is>
          <t>High</t>
        </is>
      </c>
      <c r="B16" t="inlineStr">
        <is>
          <t>Cara</t>
        </is>
      </c>
      <c r="C16" t="inlineStr">
        <is>
          <t>Write response</t>
        </is>
      </c>
      <c r="D16" s="2" t="n">
        <v>300</v>
      </c>
      <c r="E16" s="2" t="n">
        <v>0.006</v>
      </c>
      <c r="F16" s="2" t="n">
        <v>0</v>
      </c>
      <c r="G16" s="2" t="n">
        <v>0.006</v>
      </c>
      <c r="H16" t="inlineStr">
        <is>
          <t>Complete</t>
        </is>
      </c>
      <c r="I16" t="inlineStr">
        <is>
          <t>Precomputed DAG rollup; inputs and direct calculations in other sheets</t>
        </is>
      </c>
    </row>
    <row r="17">
      <c r="A17" t="inlineStr">
        <is>
          <t>High</t>
        </is>
      </c>
      <c r="B17" t="inlineStr">
        <is>
          <t>Alice</t>
        </is>
      </c>
      <c r="C17" t="inlineStr">
        <is>
          <t>Handle request</t>
        </is>
      </c>
      <c r="D17" s="2" t="n">
        <v>540</v>
      </c>
      <c r="E17" s="2" t="n">
        <v>0.003</v>
      </c>
      <c r="F17" s="2" t="n">
        <v>0</v>
      </c>
      <c r="G17" s="2" t="n">
        <v>0.003</v>
      </c>
      <c r="H17" t="inlineStr">
        <is>
          <t>Complete</t>
        </is>
      </c>
      <c r="I17" t="inlineStr">
        <is>
          <t>Precomputed DAG rollup; inputs and direct calculations in other sheets</t>
        </is>
      </c>
    </row>
    <row r="18">
      <c r="A18" t="inlineStr">
        <is>
          <t>High</t>
        </is>
      </c>
      <c r="B18" t="inlineStr">
        <is>
          <t>Bob</t>
        </is>
      </c>
      <c r="C18" t="inlineStr">
        <is>
          <t>Handle request</t>
        </is>
      </c>
      <c r="D18" s="2" t="n">
        <v>60</v>
      </c>
      <c r="E18" s="2" t="n">
        <v>0.003</v>
      </c>
      <c r="F18" s="2" t="n">
        <v>0</v>
      </c>
      <c r="G18" s="2" t="n">
        <v>0.003</v>
      </c>
      <c r="H18" t="inlineStr">
        <is>
          <t>Complete</t>
        </is>
      </c>
      <c r="I18" t="inlineStr">
        <is>
          <t>Precomputed DAG rollup; inputs and direct calculations in other sheets</t>
        </is>
      </c>
    </row>
    <row r="19">
      <c r="A19" t="inlineStr">
        <is>
          <t>High</t>
        </is>
      </c>
      <c r="B19" t="inlineStr">
        <is>
          <t>Planner</t>
        </is>
      </c>
      <c r="C19" t="inlineStr">
        <is>
          <t>Handle request</t>
        </is>
      </c>
      <c r="D19" s="2" t="n">
        <v>600</v>
      </c>
      <c r="E19" s="2" t="n">
        <v>0.003</v>
      </c>
      <c r="F19" s="2" t="n">
        <v>0</v>
      </c>
      <c r="G19" s="2" t="n">
        <v>0.0075</v>
      </c>
      <c r="H19" t="inlineStr">
        <is>
          <t>Complete</t>
        </is>
      </c>
      <c r="I19" t="inlineStr">
        <is>
          <t>Precomputed DAG rollup; inputs and direct calculations in other sheets</t>
        </is>
      </c>
    </row>
  </sheetData>
  <autoFilter ref="A1:I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SUMIF(Volume!B2:B7,A2,Volume!J2:J7)</f>
        <v/>
      </c>
    </row>
    <row r="3">
      <c r="A3" t="inlineStr">
        <is>
          <t>medium</t>
        </is>
      </c>
      <c r="B3" s="2">
        <f>SUMIF(Volume!B2:B7,A3,Volume!J2:J7)</f>
        <v/>
      </c>
    </row>
    <row r="4">
      <c r="A4" t="inlineStr">
        <is>
          <t>high</t>
        </is>
      </c>
      <c r="B4" s="2">
        <f>SUMIF(Volume!B2:B7,A4,Volume!J2:J7)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SUMIFS(Calculations!R2:R19,Calculations!A2:A19,"Expected",Calculations!AF2:AF19,A2)</f>
        <v/>
      </c>
      <c r="C2" s="2">
        <f>SUMIFS(Calculations!S2:S19,Calculations!A2:A19,"Expected",Calculations!AF2:AF19,A2)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SUMIFS(Calculations!R2:R19,Calculations!A2:A19,"Expected",Calculations!AF2:AF19,A3)</f>
        <v/>
      </c>
      <c r="C3" s="2">
        <f>SUMIFS(Calculations!S2:S19,Calculations!A2:A19,"Expected",Calculations!AF2:AF19,A3)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SUMIFS(Calculations!R2:R19,Calculations!A2:A19,"Expected",Calculations!AF2:AF19,A4)</f>
        <v/>
      </c>
      <c r="C4" s="2">
        <f>SUMIFS(Calculations!S2:S19,Calculations!A2:A19,"Expected",Calculations!AF2:AF19,A4)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SUMIFS(Calculations!AG2:AG19,Calculations!A2:A19,"Expected",Calculations!AF2:AF19,A2)</f>
        <v/>
      </c>
      <c r="D2" s="2">
        <f>SUMIFS(Calculations!T2:T19,Calculations!A2:A19,"Expected",Calculations!AF2:AF19,A2)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SUMIFS(Calculations!AH2:AH19,Calculations!A2:A19,"Expected",Calculations!AF2:AF19,A3)</f>
        <v/>
      </c>
      <c r="D3" s="2">
        <f>SUMIFS(Calculations!V2:V19,Calculations!A2:A19,"Expected",Calculations!AF2:AF19,A3)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SUMIFS(Calculations!AI2:AI19,Calculations!A2:A19,"Expected",Calculations!AF2:AF19,A4)</f>
        <v/>
      </c>
      <c r="D4" s="2">
        <f>SUMIFS(Calculations!W2:W19,Calculations!A2:A19,"Expected",Calculations!AF2:AF19,A4)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SUMIFS(Calculations!S2:S19,Calculations!A2:A19,"Expected",Calculations!AF2:AF19,A5)</f>
        <v/>
      </c>
      <c r="D5" s="2">
        <f>SUMIFS(Calculations!U2:U19,Calculations!A2:A19,"Expected",Calculations!AF2:AF19,A5)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SUMIFS(Calculations!AG2:AG19,Calculations!A2:A19,"Expected",Calculations!AF2:AF19,A7)</f>
        <v/>
      </c>
      <c r="D7" s="2">
        <f>SUMIFS(Calculations!T2:T19,Calculations!A2:A19,"Expected",Calculations!AF2:AF19,A7)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SUMIFS(Calculations!AH2:AH19,Calculations!A2:A19,"Expected",Calculations!AF2:AF19,A8)</f>
        <v/>
      </c>
      <c r="D8" s="2">
        <f>SUMIFS(Calculations!V2:V19,Calculations!A2:A19,"Expected",Calculations!AF2:AF19,A8)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SUMIFS(Calculations!AI2:AI19,Calculations!A2:A19,"Expected",Calculations!AF2:AF19,A9)</f>
        <v/>
      </c>
      <c r="D9" s="2">
        <f>SUMIFS(Calculations!W2:W19,Calculations!A2:A19,"Expected",Calculations!AF2:AF19,A9)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SUMIFS(Calculations!S2:S19,Calculations!A2:A19,"Expected",Calculations!AF2:AF19,A10)</f>
        <v/>
      </c>
      <c r="D10" s="2">
        <f>SUMIFS(Calculations!U2:U19,Calculations!A2:A19,"Expected",Calculations!AF2:AF19,A10)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SUMIFS(Calculations!AG2:AG19,Calculations!A2:A19,"Expected",Calculations!AF2:AF19,A12)</f>
        <v/>
      </c>
      <c r="D12" s="2">
        <f>SUMIFS(Calculations!T2:T19,Calculations!A2:A19,"Expected",Calculations!AF2:AF19,A12)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SUMIFS(Calculations!AH2:AH19,Calculations!A2:A19,"Expected",Calculations!AF2:AF19,A13)</f>
        <v/>
      </c>
      <c r="D13" s="2">
        <f>SUMIFS(Calculations!V2:V19,Calculations!A2:A19,"Expected",Calculations!AF2:AF19,A13)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SUMIFS(Calculations!AI2:AI19,Calculations!A2:A19,"Expected",Calculations!AF2:AF19,A14)</f>
        <v/>
      </c>
      <c r="D14" s="2">
        <f>SUMIFS(Calculations!W2:W19,Calculations!A2:A19,"Expected",Calculations!AF2:AF19,A14)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SUMIFS(Calculations!S2:S19,Calculations!A2:A19,"Expected",Calculations!AF2:AF19,A15)</f>
        <v/>
      </c>
      <c r="D15" s="2">
        <f>SUMIFS(Calculations!U2:U19,Calculations!A2:A19,"Expected",Calculations!AF2:AF19,A15)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SUMIFS(Calculations!R2:R19,Calculations!A2:A19,A2)</f>
        <v/>
      </c>
      <c r="C2" s="2">
        <f>SUMIFS(Calculations!T2:T19,Calculations!A2:A19,A2)+SUMIFS(Calculations!V2:V19,Calculations!A2:A19,A2)+SUMIFS(Calculations!W2:W19,Calculations!A2:A19,A2)</f>
        <v/>
      </c>
      <c r="D2" s="2">
        <f>SUMIFS(Calculations!S2:S19,Calculations!A2:A19,A2)</f>
        <v/>
      </c>
      <c r="E2" s="2">
        <f>SUMIFS(Calculations!U2:U19,Calculations!A2:A19,A2)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SUMIFS(Calculations!R2:R19,Calculations!A2:A19,A3)</f>
        <v/>
      </c>
      <c r="C3" s="2">
        <f>SUMIFS(Calculations!T2:T19,Calculations!A2:A19,A3)+SUMIFS(Calculations!V2:V19,Calculations!A2:A19,A3)+SUMIFS(Calculations!W2:W19,Calculations!A2:A19,A3)</f>
        <v/>
      </c>
      <c r="D3" s="2">
        <f>SUMIFS(Calculations!S2:S19,Calculations!A2:A19,A3)</f>
        <v/>
      </c>
      <c r="E3" s="2">
        <f>SUMIFS(Calculations!U2:U19,Calculations!A2:A19,A3)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SUMIFS(Calculations!R2:R19,Calculations!A2:A19,A4)</f>
        <v/>
      </c>
      <c r="C4" s="2">
        <f>SUMIFS(Calculations!T2:T19,Calculations!A2:A19,A4)+SUMIFS(Calculations!V2:V19,Calculations!A2:A19,A4)+SUMIFS(Calculations!W2:W19,Calculations!A2:A19,A4)</f>
        <v/>
      </c>
      <c r="D4" s="2">
        <f>SUMIFS(Calculations!S2:S19,Calculations!A2:A19,A4)</f>
        <v/>
      </c>
      <c r="E4" s="2">
        <f>SUMIFS(Calculations!U2:U19,Calculations!A2:A19,A4)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Individual graph v1, not provider prices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Individual graph v1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2026-10-05T19:53:47Z</dcterms:created>
  <dcterms:modified xsi:type="dcterms:W3CDTF">2026-10-05T19:53:47Z</dcterms:modified>
</cp:coreProperties>
</file>