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Step options" sheetId="4" state="visible" r:id="rId4"/>
    <sheet name="Step actions" sheetId="5" state="visible" r:id="rId5"/>
    <sheet name="Agent identities" sheetId="6" state="visible" r:id="rId6"/>
    <sheet name="Volume" sheetId="7" state="visible" r:id="rId7"/>
    <sheet name="Agent links" sheetId="8" state="visible" r:id="rId8"/>
    <sheet name="Tool costs" sheetId="9" state="visible" r:id="rId9"/>
    <sheet name="Harness" sheetId="10" state="visible" r:id="rId10"/>
    <sheet name="Use cases" sheetId="11" state="visible" r:id="rId11"/>
    <sheet name="Category totals" sheetId="12" state="visible" r:id="rId12"/>
    <sheet name="Category usage" sheetId="13" state="visible" r:id="rId13"/>
    <sheet name="Category costs" sheetId="14" state="visible" r:id="rId14"/>
    <sheet name="Monthly scenario summary" sheetId="15" state="visible" r:id="rId15"/>
    <sheet name="Monthly category summary" sheetId="16" state="visible" r:id="rId16"/>
    <sheet name="Profiles" sheetId="17" state="visible" r:id="rId17"/>
    <sheet name="Scenarios" sheetId="18" state="visible" r:id="rId18"/>
    <sheet name="Additional costs" sheetId="19" state="visible" r:id="rId19"/>
    <sheet name="Pricing" sheetId="20" state="visible" r:id="rId20"/>
    <sheet name="Read me" sheetId="21" state="visible" r:id="rId21"/>
  </sheets>
  <definedNames>
    <definedName name="_xlnm._FilterDatabase" localSheetId="0" hidden="1">'Summary'!$A$1:$J$4</definedName>
    <definedName name="_xlnm._FilterDatabase" localSheetId="1" hidden="1">'Calculations'!$A$1:$AM$10</definedName>
    <definedName name="_xlnm._FilterDatabase" localSheetId="2" hidden="1">'Agents'!$A$1:$Q$3</definedName>
    <definedName name="_xlnm._FilterDatabase" localSheetId="3" hidden="1">'Step options'!$A$1:$X$5</definedName>
    <definedName name="_xlnm._FilterDatabase" localSheetId="4" hidden="1">'Step actions'!$A$1:$L$13</definedName>
    <definedName name="_xlnm._FilterDatabase" localSheetId="5" hidden="1">'Agent identities'!$A$1:$E$3</definedName>
    <definedName name="_xlnm._FilterDatabase" localSheetId="6" hidden="1">'Volume'!$A$1:$L$3</definedName>
    <definedName name="_xlnm._FilterDatabase" localSheetId="7" hidden="1">'Agent links'!$A$1:$M$4</definedName>
    <definedName name="_xlnm._FilterDatabase" localSheetId="8" hidden="1">'Tool costs'!$A$1:$J$4</definedName>
    <definedName name="_xlnm._FilterDatabase" localSheetId="9" hidden="1">'Harness'!$A$1:$K$4</definedName>
    <definedName name="_xlnm._FilterDatabase" localSheetId="10" hidden="1">'Use cases'!$A$1:$I$7</definedName>
    <definedName name="_xlnm._FilterDatabase" localSheetId="11" hidden="1">'Category totals'!$A$1:$B$4</definedName>
    <definedName name="_xlnm._FilterDatabase" localSheetId="12" hidden="1">'Category usage'!$A$1:$F$4</definedName>
    <definedName name="_xlnm._FilterDatabase" localSheetId="13" hidden="1">'Category costs'!$A$1:$I$16</definedName>
    <definedName name="_xlnm._FilterDatabase" localSheetId="14" hidden="1">'Monthly scenario summary'!$A$1:$K$4</definedName>
    <definedName name="_xlnm._FilterDatabase" localSheetId="15" hidden="1">'Monthly category summary'!$A$1:$H$5</definedName>
    <definedName name="_xlnm._FilterDatabase" localSheetId="16" hidden="1">'Profiles'!$A$1:$G$4</definedName>
    <definedName name="_xlnm._FilterDatabase" localSheetId="17" hidden="1">'Scenarios'!$A$1:$G$4</definedName>
    <definedName name="_xlnm._FilterDatabase" localSheetId="18" hidden="1">'Additional costs'!$A$1:$A$1</definedName>
    <definedName name="_xlnm._FilterDatabase" localSheetId="19" hidden="1">'Pricing'!$A$1:$R$3</definedName>
    <definedName name="_xlnm._FilterDatabase" localSheetId="20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Classify</t>
        </is>
      </c>
      <c r="D2" t="inlineStr">
        <is>
          <t>Fixture A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3.333333333333333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L2" t="inlineStr">
        <is>
          <t>classify</t>
        </is>
      </c>
      <c r="AM2" t="inlineStr">
        <is>
          <t>reasoning</t>
        </is>
      </c>
    </row>
    <row r="3">
      <c r="A3" t="inlineStr">
        <is>
          <t>Low</t>
        </is>
      </c>
      <c r="B3" t="inlineStr">
        <is>
          <t>Resolve inquiry</t>
        </is>
      </c>
      <c r="C3" t="inlineStr">
        <is>
          <t>Verify</t>
        </is>
      </c>
      <c r="D3" t="inlineStr">
        <is>
          <t>Fixture A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150</v>
      </c>
      <c r="J3" s="2" t="n">
        <v>37.5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3.333333333333333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0.125</v>
      </c>
      <c r="AL3" t="inlineStr">
        <is>
          <t>verify</t>
        </is>
      </c>
      <c r="AM3" t="inlineStr">
        <is>
          <t>reasoning</t>
        </is>
      </c>
    </row>
    <row r="4">
      <c r="A4" t="inlineStr">
        <is>
          <t>Low</t>
        </is>
      </c>
      <c r="B4" t="inlineStr">
        <is>
          <t>Research documents</t>
        </is>
      </c>
      <c r="C4" t="inlineStr">
        <is>
          <t>Research</t>
        </is>
      </c>
      <c r="D4" t="inlineStr">
        <is>
          <t>Fixture B</t>
        </is>
      </c>
      <c r="E4" s="2" t="n">
        <v>1</v>
      </c>
      <c r="F4" s="2" t="n">
        <v>50</v>
      </c>
      <c r="G4" s="2">
        <f>AJ4*AK4</f>
        <v/>
      </c>
      <c r="H4" s="2" t="n">
        <v>0</v>
      </c>
      <c r="I4" s="2" t="n">
        <v>375</v>
      </c>
      <c r="J4" s="2" t="n">
        <v>75</v>
      </c>
      <c r="K4" s="2" t="n">
        <v>0</v>
      </c>
      <c r="L4" s="2" t="n">
        <v>0</v>
      </c>
      <c r="M4" s="2" t="n">
        <v>1</v>
      </c>
      <c r="N4" s="2" t="n">
        <v>4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0</v>
      </c>
      <c r="AB4" s="2" t="n">
        <v>0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2</v>
      </c>
      <c r="AK4" s="2" t="n">
        <v>1</v>
      </c>
      <c r="AL4" t="inlineStr">
        <is>
          <t>research</t>
        </is>
      </c>
      <c r="AM4" t="inlineStr">
        <is>
          <t>reasoning</t>
        </is>
      </c>
    </row>
    <row r="5">
      <c r="A5" t="inlineStr">
        <is>
          <t>Expected</t>
        </is>
      </c>
      <c r="B5" t="inlineStr">
        <is>
          <t>Resolve inquiry</t>
        </is>
      </c>
      <c r="C5" t="inlineStr">
        <is>
          <t>Classify</t>
        </is>
      </c>
      <c r="D5" t="inlineStr">
        <is>
          <t>Fixture A</t>
        </is>
      </c>
      <c r="E5" s="2" t="n">
        <v>1</v>
      </c>
      <c r="F5" s="2">
        <f>IF(Z5="daily_users",AA5*AB5*AC5,AD5)*AE5</f>
        <v/>
      </c>
      <c r="G5" s="2">
        <f>AJ5*AK5</f>
        <v/>
      </c>
      <c r="H5" s="2" t="n">
        <v>0</v>
      </c>
      <c r="I5" s="2" t="n">
        <v>1000</v>
      </c>
      <c r="J5" s="2" t="n">
        <v>100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</v>
      </c>
      <c r="AB5" s="2" t="n">
        <v>3.333333333333333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  <c r="AJ5" s="2" t="n">
        <v>1</v>
      </c>
      <c r="AK5" s="2" t="n">
        <v>1</v>
      </c>
      <c r="AL5" t="inlineStr">
        <is>
          <t>classify</t>
        </is>
      </c>
      <c r="AM5" t="inlineStr">
        <is>
          <t>reasoning</t>
        </is>
      </c>
    </row>
    <row r="6">
      <c r="A6" t="inlineStr">
        <is>
          <t>Expected</t>
        </is>
      </c>
      <c r="B6" t="inlineStr">
        <is>
          <t>Resolve inquiry</t>
        </is>
      </c>
      <c r="C6" t="inlineStr">
        <is>
          <t>Verify</t>
        </is>
      </c>
      <c r="D6" t="inlineStr">
        <is>
          <t>Fixture A</t>
        </is>
      </c>
      <c r="E6" s="2" t="n">
        <v>1</v>
      </c>
      <c r="F6" s="2">
        <f>IF(Z6="daily_users",AA6*AB6*AC6,AD6)*AE6</f>
        <v/>
      </c>
      <c r="G6" s="2">
        <f>AJ6*AK6</f>
        <v/>
      </c>
      <c r="H6" s="2" t="n">
        <v>0</v>
      </c>
      <c r="I6" s="2" t="n">
        <v>200</v>
      </c>
      <c r="J6" s="2" t="n">
        <v>50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daily_users</t>
        </is>
      </c>
      <c r="AA6" s="2" t="n">
        <v>1</v>
      </c>
      <c r="AB6" s="2" t="n">
        <v>3.333333333333333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  <c r="AJ6" s="2" t="n">
        <v>1</v>
      </c>
      <c r="AK6" s="2" t="n">
        <v>0.125</v>
      </c>
      <c r="AL6" t="inlineStr">
        <is>
          <t>verify</t>
        </is>
      </c>
      <c r="AM6" t="inlineStr">
        <is>
          <t>reasoning</t>
        </is>
      </c>
    </row>
    <row r="7">
      <c r="A7" t="inlineStr">
        <is>
          <t>Expected</t>
        </is>
      </c>
      <c r="B7" t="inlineStr">
        <is>
          <t>Research documents</t>
        </is>
      </c>
      <c r="C7" t="inlineStr">
        <is>
          <t>Research</t>
        </is>
      </c>
      <c r="D7" t="inlineStr">
        <is>
          <t>Fixture B</t>
        </is>
      </c>
      <c r="E7" s="2" t="n">
        <v>1</v>
      </c>
      <c r="F7" s="2" t="n">
        <v>50</v>
      </c>
      <c r="G7" s="2">
        <f>AJ7*AK7</f>
        <v/>
      </c>
      <c r="H7" s="2" t="n">
        <v>0</v>
      </c>
      <c r="I7" s="2" t="n">
        <v>500</v>
      </c>
      <c r="J7" s="2" t="n">
        <v>100</v>
      </c>
      <c r="K7" s="2" t="n">
        <v>0</v>
      </c>
      <c r="L7" s="2" t="n">
        <v>0</v>
      </c>
      <c r="M7" s="2" t="n">
        <v>1</v>
      </c>
      <c r="N7" s="2" t="n">
        <v>4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0</v>
      </c>
      <c r="AB7" s="2" t="n">
        <v>0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  <c r="AJ7" s="2" t="n">
        <v>2</v>
      </c>
      <c r="AK7" s="2" t="n">
        <v>1</v>
      </c>
      <c r="AL7" t="inlineStr">
        <is>
          <t>research</t>
        </is>
      </c>
      <c r="AM7" t="inlineStr">
        <is>
          <t>reasoning</t>
        </is>
      </c>
    </row>
    <row r="8">
      <c r="A8" t="inlineStr">
        <is>
          <t>High</t>
        </is>
      </c>
      <c r="B8" t="inlineStr">
        <is>
          <t>Resolve inquiry</t>
        </is>
      </c>
      <c r="C8" t="inlineStr">
        <is>
          <t>Classify</t>
        </is>
      </c>
      <c r="D8" t="inlineStr">
        <is>
          <t>Fixture A</t>
        </is>
      </c>
      <c r="E8" s="2" t="n">
        <v>1</v>
      </c>
      <c r="F8" s="2">
        <f>IF(Z8="daily_users",AA8*AB8*AC8,AD8)*AE8</f>
        <v/>
      </c>
      <c r="G8" s="2">
        <f>AJ8*AK8</f>
        <v/>
      </c>
      <c r="H8" s="2" t="n">
        <v>0</v>
      </c>
      <c r="I8" s="2" t="n">
        <v>1500</v>
      </c>
      <c r="J8" s="2" t="n">
        <v>150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</v>
      </c>
      <c r="AB8" s="2" t="n">
        <v>3.333333333333333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  <c r="AJ8" s="2" t="n">
        <v>1</v>
      </c>
      <c r="AK8" s="2" t="n">
        <v>1</v>
      </c>
      <c r="AL8" t="inlineStr">
        <is>
          <t>classify</t>
        </is>
      </c>
      <c r="AM8" t="inlineStr">
        <is>
          <t>reasoning</t>
        </is>
      </c>
    </row>
    <row r="9">
      <c r="A9" t="inlineStr">
        <is>
          <t>High</t>
        </is>
      </c>
      <c r="B9" t="inlineStr">
        <is>
          <t>Resolve inquiry</t>
        </is>
      </c>
      <c r="C9" t="inlineStr">
        <is>
          <t>Verify</t>
        </is>
      </c>
      <c r="D9" t="inlineStr">
        <is>
          <t>Fixture A</t>
        </is>
      </c>
      <c r="E9" s="2" t="n">
        <v>1</v>
      </c>
      <c r="F9" s="2">
        <f>IF(Z9="daily_users",AA9*AB9*AC9,AD9)*AE9</f>
        <v/>
      </c>
      <c r="G9" s="2">
        <f>AJ9*AK9</f>
        <v/>
      </c>
      <c r="H9" s="2" t="n">
        <v>0</v>
      </c>
      <c r="I9" s="2" t="n">
        <v>300</v>
      </c>
      <c r="J9" s="2" t="n">
        <v>75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daily_users</t>
        </is>
      </c>
      <c r="AA9" s="2" t="n">
        <v>1</v>
      </c>
      <c r="AB9" s="2" t="n">
        <v>3.333333333333333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  <c r="AJ9" s="2" t="n">
        <v>1</v>
      </c>
      <c r="AK9" s="2" t="n">
        <v>0.125</v>
      </c>
      <c r="AL9" t="inlineStr">
        <is>
          <t>verify</t>
        </is>
      </c>
      <c r="AM9" t="inlineStr">
        <is>
          <t>reasoning</t>
        </is>
      </c>
    </row>
    <row r="10">
      <c r="A10" t="inlineStr">
        <is>
          <t>High</t>
        </is>
      </c>
      <c r="B10" t="inlineStr">
        <is>
          <t>Research documents</t>
        </is>
      </c>
      <c r="C10" t="inlineStr">
        <is>
          <t>Research</t>
        </is>
      </c>
      <c r="D10" t="inlineStr">
        <is>
          <t>Fixture B</t>
        </is>
      </c>
      <c r="E10" s="2" t="n">
        <v>1</v>
      </c>
      <c r="F10" s="2" t="n">
        <v>50</v>
      </c>
      <c r="G10" s="2">
        <f>AJ10*AK10</f>
        <v/>
      </c>
      <c r="H10" s="2" t="n">
        <v>0</v>
      </c>
      <c r="I10" s="2" t="n">
        <v>750</v>
      </c>
      <c r="J10" s="2" t="n">
        <v>150</v>
      </c>
      <c r="K10" s="2" t="n">
        <v>0</v>
      </c>
      <c r="L10" s="2" t="n">
        <v>0</v>
      </c>
      <c r="M10" s="2" t="n">
        <v>1</v>
      </c>
      <c r="N10" s="2" t="n">
        <v>4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0</v>
      </c>
      <c r="AB10" s="2" t="n">
        <v>0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  <c r="AJ10" s="2" t="n">
        <v>2</v>
      </c>
      <c r="AK10" s="2" t="n">
        <v>1</v>
      </c>
      <c r="AL10" t="inlineStr">
        <is>
          <t>research</t>
        </is>
      </c>
      <c r="AM10" t="inlineStr">
        <is>
          <t>reasoning</t>
        </is>
      </c>
    </row>
  </sheetData>
  <autoFilter ref="A1:AM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  <col width="16" customWidth="1" min="17" max="17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  <c r="Q1" s="1" t="inlineStr">
        <is>
          <t>row_id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3.333333333333333</v>
      </c>
      <c r="O2" t="inlineStr">
        <is>
          <t>router</t>
        </is>
      </c>
      <c r="P2" t="inlineStr">
        <is>
          <t>Business use case pending description</t>
        </is>
      </c>
      <c r="Q2" t="inlineStr">
        <is>
          <t>router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0</v>
      </c>
      <c r="N3" s="2" t="n">
        <v>0</v>
      </c>
      <c r="O3" t="inlineStr">
        <is>
          <t>specialist</t>
        </is>
      </c>
      <c r="P3" t="inlineStr">
        <is>
          <t>Business use case pending description</t>
        </is>
      </c>
      <c r="Q3" t="inlineStr">
        <is>
          <t>specialist</t>
        </is>
      </c>
    </row>
  </sheetData>
  <autoFilter ref="A1:Q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7" customWidth="1" min="17" max="17"/>
    <col width="23" customWidth="1" min="18" max="18"/>
    <col width="28" customWidth="1" min="19" max="19"/>
    <col width="29" customWidth="1" min="20" max="20"/>
    <col width="18" customWidth="1" min="21" max="21"/>
    <col width="19" customWidth="1" min="22" max="22"/>
    <col width="19" customWidth="1" min="23" max="23"/>
    <col width="20" customWidth="1" min="24" max="24"/>
  </cols>
  <sheetData>
    <row r="1" ht="32" customHeight="1">
      <c r="A1" s="1" t="inlineStr">
        <is>
          <t>row_id</t>
        </is>
      </c>
      <c r="B1" s="1" t="inlineStr">
        <is>
          <t>step_id</t>
        </is>
      </c>
      <c r="C1" s="1" t="inlineStr">
        <is>
          <t>step_name</t>
        </is>
      </c>
      <c r="D1" s="1" t="inlineStr">
        <is>
          <t>order</t>
        </is>
      </c>
      <c r="E1" s="1" t="inlineStr">
        <is>
          <t>action_type</t>
        </is>
      </c>
      <c r="F1" s="1" t="inlineStr">
        <is>
          <t>execution_probability</t>
        </is>
      </c>
      <c r="G1" s="1" t="inlineStr">
        <is>
          <t>complexity</t>
        </is>
      </c>
      <c r="H1" s="1" t="inlineStr">
        <is>
          <t>option_id</t>
        </is>
      </c>
      <c r="I1" s="1" t="inlineStr">
        <is>
          <t>probability</t>
        </is>
      </c>
      <c r="J1" s="1" t="inlineStr">
        <is>
          <t>model_id</t>
        </is>
      </c>
      <c r="K1" s="1" t="inlineStr">
        <is>
          <t>child_agent_id</t>
        </is>
      </c>
      <c r="L1" s="1" t="inlineStr">
        <is>
          <t>multiplicity</t>
        </is>
      </c>
      <c r="M1" s="1" t="inlineStr">
        <is>
          <t>calls</t>
        </is>
      </c>
      <c r="N1" s="1" t="inlineStr">
        <is>
          <t>input_tokens</t>
        </is>
      </c>
      <c r="O1" s="1" t="inlineStr">
        <is>
          <t>output_tokens</t>
        </is>
      </c>
      <c r="P1" s="1" t="inlineStr">
        <is>
          <t>retry_rate</t>
        </is>
      </c>
      <c r="Q1" s="1" t="inlineStr">
        <is>
          <t>cache_fraction</t>
        </is>
      </c>
      <c r="R1" s="1" t="inlineStr">
        <is>
          <t>cache_write_fraction</t>
        </is>
      </c>
      <c r="S1" s="1" t="inlineStr">
        <is>
          <t>low_execution_probability</t>
        </is>
      </c>
      <c r="T1" s="1" t="inlineStr">
        <is>
          <t>high_execution_probability</t>
        </is>
      </c>
      <c r="U1" s="1" t="inlineStr">
        <is>
          <t>low_probability</t>
        </is>
      </c>
      <c r="V1" s="1" t="inlineStr">
        <is>
          <t>high_probability</t>
        </is>
      </c>
      <c r="W1" s="1" t="inlineStr">
        <is>
          <t>low_multiplicity</t>
        </is>
      </c>
      <c r="X1" s="1" t="inlineStr">
        <is>
          <t>high_multiplicity</t>
        </is>
      </c>
    </row>
    <row r="2">
      <c r="A2" t="inlineStr">
        <is>
          <t>router</t>
        </is>
      </c>
      <c r="B2" t="inlineStr">
        <is>
          <t>classify</t>
        </is>
      </c>
      <c r="C2" t="inlineStr">
        <is>
          <t>Classify</t>
        </is>
      </c>
      <c r="D2" s="2" t="n">
        <v>1</v>
      </c>
      <c r="E2" t="inlineStr">
        <is>
          <t>model</t>
        </is>
      </c>
      <c r="F2" t="inlineStr">
        <is>
          <t>1</t>
        </is>
      </c>
      <c r="G2" t="inlineStr">
        <is>
          <t>simple</t>
        </is>
      </c>
      <c r="H2" t="inlineStr">
        <is>
          <t>primary</t>
        </is>
      </c>
      <c r="I2" t="inlineStr">
        <is>
          <t>1</t>
        </is>
      </c>
      <c r="J2" t="inlineStr">
        <is>
          <t>Fixture A</t>
        </is>
      </c>
      <c r="M2" t="inlineStr">
        <is>
          <t>1</t>
        </is>
      </c>
      <c r="N2" t="inlineStr">
        <is>
          <t>1000</t>
        </is>
      </c>
      <c r="O2" t="inlineStr">
        <is>
          <t>100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router</t>
        </is>
      </c>
      <c r="B3" t="inlineStr">
        <is>
          <t>verify</t>
        </is>
      </c>
      <c r="C3" t="inlineStr">
        <is>
          <t>Verify</t>
        </is>
      </c>
      <c r="D3" s="2" t="n">
        <v>2</v>
      </c>
      <c r="E3" t="inlineStr">
        <is>
          <t>model</t>
        </is>
      </c>
      <c r="F3" t="inlineStr">
        <is>
          <t>0.125</t>
        </is>
      </c>
      <c r="G3" t="inlineStr">
        <is>
          <t>simple</t>
        </is>
      </c>
      <c r="H3" t="inlineStr">
        <is>
          <t>optional</t>
        </is>
      </c>
      <c r="I3" t="inlineStr">
        <is>
          <t>1</t>
        </is>
      </c>
      <c r="J3" t="inlineStr">
        <is>
          <t>Fixture A</t>
        </is>
      </c>
      <c r="M3" t="inlineStr">
        <is>
          <t>1</t>
        </is>
      </c>
      <c r="N3" t="inlineStr">
        <is>
          <t>200</t>
        </is>
      </c>
      <c r="O3" t="inlineStr">
        <is>
          <t>50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router</t>
        </is>
      </c>
      <c r="B4" t="inlineStr">
        <is>
          <t>delegation</t>
        </is>
      </c>
      <c r="C4" t="inlineStr">
        <is>
          <t>Call specialist</t>
        </is>
      </c>
      <c r="D4" s="2" t="n">
        <v>3</v>
      </c>
      <c r="E4" t="inlineStr">
        <is>
          <t>agent</t>
        </is>
      </c>
      <c r="F4" t="inlineStr">
        <is>
          <t>0.25</t>
        </is>
      </c>
      <c r="G4" t="inlineStr">
        <is>
          <t>simple</t>
        </is>
      </c>
      <c r="H4" t="inlineStr">
        <is>
          <t>delegation-option</t>
        </is>
      </c>
      <c r="I4" t="inlineStr">
        <is>
          <t>1</t>
        </is>
      </c>
      <c r="K4" t="inlineStr">
        <is>
          <t>specialist</t>
        </is>
      </c>
      <c r="L4" t="inlineStr">
        <is>
          <t>2</t>
        </is>
      </c>
    </row>
    <row r="5">
      <c r="A5" t="inlineStr">
        <is>
          <t>specialist</t>
        </is>
      </c>
      <c r="B5" t="inlineStr">
        <is>
          <t>research</t>
        </is>
      </c>
      <c r="C5" t="inlineStr">
        <is>
          <t>Research</t>
        </is>
      </c>
      <c r="D5" s="2" t="n">
        <v>1</v>
      </c>
      <c r="E5" t="inlineStr">
        <is>
          <t>model</t>
        </is>
      </c>
      <c r="F5" t="inlineStr">
        <is>
          <t>1</t>
        </is>
      </c>
      <c r="G5" t="inlineStr">
        <is>
          <t>simple</t>
        </is>
      </c>
      <c r="H5" t="inlineStr">
        <is>
          <t>research-call</t>
        </is>
      </c>
      <c r="I5" t="inlineStr">
        <is>
          <t>1</t>
        </is>
      </c>
      <c r="J5" t="inlineStr">
        <is>
          <t>Fixture B</t>
        </is>
      </c>
      <c r="M5" t="inlineStr">
        <is>
          <t>2</t>
        </is>
      </c>
      <c r="N5" t="inlineStr">
        <is>
          <t>500</t>
        </is>
      </c>
      <c r="O5" t="inlineStr">
        <is>
          <t>100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</sheetData>
  <autoFilter ref="A1:X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6" customWidth="1" min="6" max="6"/>
    <col width="16" customWidth="1" min="7" max="7"/>
    <col width="24" customWidth="1" min="8" max="8"/>
    <col width="37" customWidth="1" min="9" max="9"/>
    <col width="39" customWidth="1" min="10" max="10"/>
    <col width="45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Step probability</t>
        </is>
      </c>
      <c r="F1" s="1" t="inlineStr">
        <is>
          <t>Option ID</t>
        </is>
      </c>
      <c r="G1" s="1" t="inlineStr">
        <is>
          <t>Target</t>
        </is>
      </c>
      <c r="H1" s="1" t="inlineStr">
        <is>
          <t>Selection probability</t>
        </is>
      </c>
      <c r="I1" s="1" t="inlineStr">
        <is>
          <t>Option USD/execution (precomputed)</t>
        </is>
      </c>
      <c r="J1" s="1" t="inlineStr">
        <is>
          <t>Weighted USD/execution (precomputed)</t>
        </is>
      </c>
      <c r="K1" s="1" t="inlineStr">
        <is>
          <t>Step USD/month incl children (precomputed)</t>
        </is>
      </c>
      <c r="L1" s="1" t="inlineStr">
        <is>
          <t>Status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Classify</t>
        </is>
      </c>
      <c r="D2" t="inlineStr">
        <is>
          <t>model</t>
        </is>
      </c>
      <c r="E2" t="inlineStr">
        <is>
          <t>1</t>
        </is>
      </c>
      <c r="F2" t="inlineStr">
        <is>
          <t>primary</t>
        </is>
      </c>
      <c r="G2" t="inlineStr">
        <is>
          <t>Fixture A</t>
        </is>
      </c>
      <c r="H2" s="2" t="n">
        <v>1</v>
      </c>
      <c r="I2" s="2" t="n">
        <v>0.0021</v>
      </c>
      <c r="J2" s="2" t="n">
        <v>0.0021</v>
      </c>
      <c r="K2" s="2" t="n">
        <v>0.21</v>
      </c>
      <c r="L2" t="inlineStr">
        <is>
          <t>Complete</t>
        </is>
      </c>
    </row>
    <row r="3">
      <c r="A3" t="inlineStr">
        <is>
          <t>Low</t>
        </is>
      </c>
      <c r="B3" t="inlineStr">
        <is>
          <t>Resolve inquiry</t>
        </is>
      </c>
      <c r="C3" t="inlineStr">
        <is>
          <t>Verify</t>
        </is>
      </c>
      <c r="D3" t="inlineStr">
        <is>
          <t>model</t>
        </is>
      </c>
      <c r="E3" t="inlineStr">
        <is>
          <t>0.125</t>
        </is>
      </c>
      <c r="F3" t="inlineStr">
        <is>
          <t>optional</t>
        </is>
      </c>
      <c r="G3" t="inlineStr">
        <is>
          <t>Fixture A</t>
        </is>
      </c>
      <c r="H3" s="2" t="n">
        <v>1</v>
      </c>
      <c r="I3" s="2" t="n">
        <v>0.0005999999999999999</v>
      </c>
      <c r="J3" s="2" t="n">
        <v>0.0005999999999999999</v>
      </c>
      <c r="K3" s="2" t="n">
        <v>1.2575</v>
      </c>
      <c r="L3" t="inlineStr">
        <is>
          <t>Complete</t>
        </is>
      </c>
    </row>
    <row r="4">
      <c r="A4" t="inlineStr">
        <is>
          <t>Low</t>
        </is>
      </c>
      <c r="B4" t="inlineStr">
        <is>
          <t>Resolve inquiry</t>
        </is>
      </c>
      <c r="C4" t="inlineStr">
        <is>
          <t>Call specialist</t>
        </is>
      </c>
      <c r="D4" t="inlineStr">
        <is>
          <t>agent</t>
        </is>
      </c>
      <c r="E4" t="inlineStr">
        <is>
          <t>0.25</t>
        </is>
      </c>
      <c r="F4" t="inlineStr">
        <is>
          <t>delegation-option</t>
        </is>
      </c>
      <c r="G4" t="inlineStr">
        <is>
          <t>specialist</t>
        </is>
      </c>
      <c r="H4" s="2" t="n">
        <v>1</v>
      </c>
      <c r="I4" s="2" t="n">
        <v>0.1585333333333333</v>
      </c>
      <c r="J4" s="2" t="n">
        <v>0.1585333333333333</v>
      </c>
      <c r="K4" s="2" t="n">
        <v>3.963333333333333</v>
      </c>
      <c r="L4" t="inlineStr">
        <is>
          <t>Complete</t>
        </is>
      </c>
    </row>
    <row r="5">
      <c r="A5" t="inlineStr">
        <is>
          <t>Low</t>
        </is>
      </c>
      <c r="B5" t="inlineStr">
        <is>
          <t>Research documents</t>
        </is>
      </c>
      <c r="C5" t="inlineStr">
        <is>
          <t>Research</t>
        </is>
      </c>
      <c r="D5" t="inlineStr">
        <is>
          <t>model</t>
        </is>
      </c>
      <c r="E5" t="inlineStr">
        <is>
          <t>1</t>
        </is>
      </c>
      <c r="F5" t="inlineStr">
        <is>
          <t>research-call</t>
        </is>
      </c>
      <c r="G5" t="inlineStr">
        <is>
          <t>Fixture B</t>
        </is>
      </c>
      <c r="H5" s="2" t="n">
        <v>1</v>
      </c>
      <c r="I5" s="2" t="n">
        <v>0.00135</v>
      </c>
      <c r="J5" s="2" t="n">
        <v>0.00135</v>
      </c>
      <c r="K5" s="2" t="n">
        <v>0.0675</v>
      </c>
      <c r="L5" t="inlineStr">
        <is>
          <t>Complete</t>
        </is>
      </c>
    </row>
    <row r="6">
      <c r="A6" t="inlineStr">
        <is>
          <t>Expected</t>
        </is>
      </c>
      <c r="B6" t="inlineStr">
        <is>
          <t>Resolve inquiry</t>
        </is>
      </c>
      <c r="C6" t="inlineStr">
        <is>
          <t>Classify</t>
        </is>
      </c>
      <c r="D6" t="inlineStr">
        <is>
          <t>model</t>
        </is>
      </c>
      <c r="E6" t="inlineStr">
        <is>
          <t>1</t>
        </is>
      </c>
      <c r="F6" t="inlineStr">
        <is>
          <t>primary</t>
        </is>
      </c>
      <c r="G6" t="inlineStr">
        <is>
          <t>Fixture A</t>
        </is>
      </c>
      <c r="H6" s="2" t="n">
        <v>1</v>
      </c>
      <c r="I6" s="2" t="n">
        <v>0.0028</v>
      </c>
      <c r="J6" s="2" t="n">
        <v>0.0028</v>
      </c>
      <c r="K6" s="2" t="n">
        <v>0.28</v>
      </c>
      <c r="L6" t="inlineStr">
        <is>
          <t>Complete</t>
        </is>
      </c>
    </row>
    <row r="7">
      <c r="A7" t="inlineStr">
        <is>
          <t>Expected</t>
        </is>
      </c>
      <c r="B7" t="inlineStr">
        <is>
          <t>Resolve inquiry</t>
        </is>
      </c>
      <c r="C7" t="inlineStr">
        <is>
          <t>Verify</t>
        </is>
      </c>
      <c r="D7" t="inlineStr">
        <is>
          <t>model</t>
        </is>
      </c>
      <c r="E7" t="inlineStr">
        <is>
          <t>0.125</t>
        </is>
      </c>
      <c r="F7" t="inlineStr">
        <is>
          <t>optional</t>
        </is>
      </c>
      <c r="G7" t="inlineStr">
        <is>
          <t>Fixture A</t>
        </is>
      </c>
      <c r="H7" s="2" t="n">
        <v>1</v>
      </c>
      <c r="I7" s="2" t="n">
        <v>0.0008</v>
      </c>
      <c r="J7" s="2" t="n">
        <v>0.0008</v>
      </c>
      <c r="K7" s="2" t="n">
        <v>1.26</v>
      </c>
      <c r="L7" t="inlineStr">
        <is>
          <t>Complete</t>
        </is>
      </c>
    </row>
    <row r="8">
      <c r="A8" t="inlineStr">
        <is>
          <t>Expected</t>
        </is>
      </c>
      <c r="B8" t="inlineStr">
        <is>
          <t>Resolve inquiry</t>
        </is>
      </c>
      <c r="C8" t="inlineStr">
        <is>
          <t>Call specialist</t>
        </is>
      </c>
      <c r="D8" t="inlineStr">
        <is>
          <t>agent</t>
        </is>
      </c>
      <c r="E8" t="inlineStr">
        <is>
          <t>0.25</t>
        </is>
      </c>
      <c r="F8" t="inlineStr">
        <is>
          <t>delegation-option</t>
        </is>
      </c>
      <c r="G8" t="inlineStr">
        <is>
          <t>specialist</t>
        </is>
      </c>
      <c r="H8" s="2" t="n">
        <v>1</v>
      </c>
      <c r="I8" s="2" t="n">
        <v>0.1594333333333333</v>
      </c>
      <c r="J8" s="2" t="n">
        <v>0.1594333333333333</v>
      </c>
      <c r="K8" s="2" t="n">
        <v>3.985833333333333</v>
      </c>
      <c r="L8" t="inlineStr">
        <is>
          <t>Complete</t>
        </is>
      </c>
    </row>
    <row r="9">
      <c r="A9" t="inlineStr">
        <is>
          <t>Expected</t>
        </is>
      </c>
      <c r="B9" t="inlineStr">
        <is>
          <t>Research documents</t>
        </is>
      </c>
      <c r="C9" t="inlineStr">
        <is>
          <t>Research</t>
        </is>
      </c>
      <c r="D9" t="inlineStr">
        <is>
          <t>model</t>
        </is>
      </c>
      <c r="E9" t="inlineStr">
        <is>
          <t>1</t>
        </is>
      </c>
      <c r="F9" t="inlineStr">
        <is>
          <t>research-call</t>
        </is>
      </c>
      <c r="G9" t="inlineStr">
        <is>
          <t>Fixture B</t>
        </is>
      </c>
      <c r="H9" s="2" t="n">
        <v>1</v>
      </c>
      <c r="I9" s="2" t="n">
        <v>0.0018</v>
      </c>
      <c r="J9" s="2" t="n">
        <v>0.0018</v>
      </c>
      <c r="K9" s="2" t="n">
        <v>0.09</v>
      </c>
      <c r="L9" t="inlineStr">
        <is>
          <t>Complete</t>
        </is>
      </c>
    </row>
    <row r="10">
      <c r="A10" t="inlineStr">
        <is>
          <t>High</t>
        </is>
      </c>
      <c r="B10" t="inlineStr">
        <is>
          <t>Resolve inquiry</t>
        </is>
      </c>
      <c r="C10" t="inlineStr">
        <is>
          <t>Classify</t>
        </is>
      </c>
      <c r="D10" t="inlineStr">
        <is>
          <t>model</t>
        </is>
      </c>
      <c r="E10" t="inlineStr">
        <is>
          <t>1</t>
        </is>
      </c>
      <c r="F10" t="inlineStr">
        <is>
          <t>primary</t>
        </is>
      </c>
      <c r="G10" t="inlineStr">
        <is>
          <t>Fixture A</t>
        </is>
      </c>
      <c r="H10" s="2" t="n">
        <v>1</v>
      </c>
      <c r="I10" s="2" t="n">
        <v>0.0042</v>
      </c>
      <c r="J10" s="2" t="n">
        <v>0.0042</v>
      </c>
      <c r="K10" s="2" t="n">
        <v>0.42</v>
      </c>
      <c r="L10" t="inlineStr">
        <is>
          <t>Complete</t>
        </is>
      </c>
    </row>
    <row r="11">
      <c r="A11" t="inlineStr">
        <is>
          <t>High</t>
        </is>
      </c>
      <c r="B11" t="inlineStr">
        <is>
          <t>Resolve inquiry</t>
        </is>
      </c>
      <c r="C11" t="inlineStr">
        <is>
          <t>Verify</t>
        </is>
      </c>
      <c r="D11" t="inlineStr">
        <is>
          <t>model</t>
        </is>
      </c>
      <c r="E11" t="inlineStr">
        <is>
          <t>0.125</t>
        </is>
      </c>
      <c r="F11" t="inlineStr">
        <is>
          <t>optional</t>
        </is>
      </c>
      <c r="G11" t="inlineStr">
        <is>
          <t>Fixture A</t>
        </is>
      </c>
      <c r="H11" s="2" t="n">
        <v>1</v>
      </c>
      <c r="I11" s="2" t="n">
        <v>0.0012</v>
      </c>
      <c r="J11" s="2" t="n">
        <v>0.0012</v>
      </c>
      <c r="K11" s="2" t="n">
        <v>1.265</v>
      </c>
      <c r="L11" t="inlineStr">
        <is>
          <t>Complete</t>
        </is>
      </c>
    </row>
    <row r="12">
      <c r="A12" t="inlineStr">
        <is>
          <t>High</t>
        </is>
      </c>
      <c r="B12" t="inlineStr">
        <is>
          <t>Resolve inquiry</t>
        </is>
      </c>
      <c r="C12" t="inlineStr">
        <is>
          <t>Call specialist</t>
        </is>
      </c>
      <c r="D12" t="inlineStr">
        <is>
          <t>agent</t>
        </is>
      </c>
      <c r="E12" t="inlineStr">
        <is>
          <t>0.25</t>
        </is>
      </c>
      <c r="F12" t="inlineStr">
        <is>
          <t>delegation-option</t>
        </is>
      </c>
      <c r="G12" t="inlineStr">
        <is>
          <t>specialist</t>
        </is>
      </c>
      <c r="H12" s="2" t="n">
        <v>1</v>
      </c>
      <c r="I12" s="2" t="n">
        <v>0.1612333333333333</v>
      </c>
      <c r="J12" s="2" t="n">
        <v>0.1612333333333333</v>
      </c>
      <c r="K12" s="2" t="n">
        <v>4.030833333333334</v>
      </c>
      <c r="L12" t="inlineStr">
        <is>
          <t>Complete</t>
        </is>
      </c>
    </row>
    <row r="13">
      <c r="A13" t="inlineStr">
        <is>
          <t>High</t>
        </is>
      </c>
      <c r="B13" t="inlineStr">
        <is>
          <t>Research documents</t>
        </is>
      </c>
      <c r="C13" t="inlineStr">
        <is>
          <t>Research</t>
        </is>
      </c>
      <c r="D13" t="inlineStr">
        <is>
          <t>model</t>
        </is>
      </c>
      <c r="E13" t="inlineStr">
        <is>
          <t>1</t>
        </is>
      </c>
      <c r="F13" t="inlineStr">
        <is>
          <t>research-call</t>
        </is>
      </c>
      <c r="G13" t="inlineStr">
        <is>
          <t>Fixture B</t>
        </is>
      </c>
      <c r="H13" s="2" t="n">
        <v>1</v>
      </c>
      <c r="I13" s="2" t="n">
        <v>0.0027</v>
      </c>
      <c r="J13" s="2" t="n">
        <v>0.0027</v>
      </c>
      <c r="K13" s="2" t="n">
        <v>0.135</v>
      </c>
      <c r="L13" t="inlineStr">
        <is>
          <t>Complete</t>
        </is>
      </c>
    </row>
  </sheetData>
  <autoFilter ref="A1:L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Source ID</t>
        </is>
      </c>
      <c r="B1" s="1" t="inlineStr">
        <is>
          <t>Source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router</t>
        </is>
      </c>
      <c r="B2" t="inlineStr">
        <is>
          <t>Resolve inquiry</t>
        </is>
      </c>
      <c r="C2" t="inlineStr">
        <is>
          <t>router</t>
        </is>
      </c>
      <c r="D2" t="inlineStr">
        <is>
          <t>Resolve inquiry</t>
        </is>
      </c>
      <c r="E2" t="inlineStr">
        <is>
          <t>Business use case pending description</t>
        </is>
      </c>
    </row>
    <row r="3">
      <c r="A3" t="inlineStr">
        <is>
          <t>specialist</t>
        </is>
      </c>
      <c r="B3" t="inlineStr">
        <is>
          <t>Research documents</t>
        </is>
      </c>
      <c r="C3" t="inlineStr">
        <is>
          <t>specialist</t>
        </is>
      </c>
      <c r="D3" t="inlineStr">
        <is>
          <t>Research documents</t>
        </is>
      </c>
      <c r="E3" t="inlineStr">
        <is>
          <t>Business use case pending description</t>
        </is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1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Resolve inquiry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</v>
      </c>
      <c r="F2" s="2" t="n">
        <v>3.333333333333333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router</t>
        </is>
      </c>
    </row>
    <row r="3">
      <c r="A3" t="inlineStr">
        <is>
          <t>Research documents</t>
        </is>
      </c>
      <c r="B3" t="inlineStr">
        <is>
          <t>simple</t>
        </is>
      </c>
      <c r="C3" s="2" t="n">
        <v>1</v>
      </c>
      <c r="D3" t="inlineStr">
        <is>
          <t>derived</t>
        </is>
      </c>
      <c r="E3" s="2" t="n">
        <v>0</v>
      </c>
      <c r="F3" s="2" t="n">
        <v>0</v>
      </c>
      <c r="G3" s="2" t="n">
        <v>30</v>
      </c>
      <c r="H3" s="2" t="n">
        <v>0</v>
      </c>
      <c r="I3" s="2" t="n">
        <v>50</v>
      </c>
      <c r="J3" s="2">
        <f>C3*I3</f>
        <v/>
      </c>
      <c r="K3" t="inlineStr">
        <is>
          <t>specialist</t>
        </is>
      </c>
      <c r="L3" t="inlineStr">
        <is>
          <t>daily_users</t>
        </is>
      </c>
    </row>
  </sheetData>
  <autoFilter ref="A1:L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Caller agent</t>
        </is>
      </c>
      <c r="C1" s="1" t="inlineStr">
        <is>
          <t>Child agent</t>
        </is>
      </c>
      <c r="D1" s="1" t="inlineStr">
        <is>
          <t>Caller step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Research documents</t>
        </is>
      </c>
      <c r="D2" t="inlineStr">
        <is>
          <t>Call specialist</t>
        </is>
      </c>
      <c r="E2" s="2" t="n">
        <v>1</v>
      </c>
      <c r="F2" s="2" t="n">
        <v>2</v>
      </c>
      <c r="G2" s="2" t="n">
        <v>100</v>
      </c>
      <c r="H2" s="2">
        <f>E2*F2*G2*M2</f>
        <v/>
      </c>
      <c r="I2" t="inlineStr">
        <is>
          <t>Complete</t>
        </is>
      </c>
      <c r="J2" t="inlineStr">
        <is>
          <t>delegation-option</t>
        </is>
      </c>
      <c r="K2" t="inlineStr">
        <is>
          <t>router</t>
        </is>
      </c>
      <c r="L2" t="inlineStr">
        <is>
          <t>specialist</t>
        </is>
      </c>
      <c r="M2" s="2" t="n">
        <v>0.25</v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Research documents</t>
        </is>
      </c>
      <c r="D3" t="inlineStr">
        <is>
          <t>Call specialist</t>
        </is>
      </c>
      <c r="E3" s="2" t="n">
        <v>1</v>
      </c>
      <c r="F3" s="2" t="n">
        <v>2</v>
      </c>
      <c r="G3" s="2" t="n">
        <v>100</v>
      </c>
      <c r="H3" s="2">
        <f>E3*F3*G3*M3</f>
        <v/>
      </c>
      <c r="I3" t="inlineStr">
        <is>
          <t>Complete</t>
        </is>
      </c>
      <c r="J3" t="inlineStr">
        <is>
          <t>delegation-option</t>
        </is>
      </c>
      <c r="K3" t="inlineStr">
        <is>
          <t>router</t>
        </is>
      </c>
      <c r="L3" t="inlineStr">
        <is>
          <t>specialist</t>
        </is>
      </c>
      <c r="M3" s="2" t="n">
        <v>0.25</v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Research documents</t>
        </is>
      </c>
      <c r="D4" t="inlineStr">
        <is>
          <t>Call specialist</t>
        </is>
      </c>
      <c r="E4" s="2" t="n">
        <v>1</v>
      </c>
      <c r="F4" s="2" t="n">
        <v>2</v>
      </c>
      <c r="G4" s="2" t="n">
        <v>100</v>
      </c>
      <c r="H4" s="2">
        <f>E4*F4*G4*M4</f>
        <v/>
      </c>
      <c r="I4" t="inlineStr">
        <is>
          <t>Complete</t>
        </is>
      </c>
      <c r="J4" t="inlineStr">
        <is>
          <t>delegation-option</t>
        </is>
      </c>
      <c r="K4" t="inlineStr">
        <is>
          <t>router</t>
        </is>
      </c>
      <c r="L4" t="inlineStr">
        <is>
          <t>specialist</t>
        </is>
      </c>
      <c r="M4" s="2" t="n">
        <v>0.25</v>
      </c>
    </row>
  </sheetData>
  <autoFilter ref="A1:M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Search API</t>
        </is>
      </c>
      <c r="D2" s="2" t="n">
        <v>100</v>
      </c>
      <c r="E2" s="2" t="n">
        <v>0.125</v>
      </c>
      <c r="F2" s="2" t="n">
        <v>1</v>
      </c>
      <c r="G2" s="2" t="n">
        <v>1</v>
      </c>
      <c r="H2" s="2" t="n">
        <v>0.1</v>
      </c>
      <c r="I2" s="2">
        <f>D2*E2*F2*G2*H2</f>
        <v/>
      </c>
      <c r="J2" t="inlineStr">
        <is>
          <t>verify</t>
        </is>
      </c>
    </row>
    <row r="3">
      <c r="A3" t="inlineStr">
        <is>
          <t>Expected</t>
        </is>
      </c>
      <c r="B3" t="inlineStr">
        <is>
          <t>Resolve inquiry</t>
        </is>
      </c>
      <c r="C3" t="inlineStr">
        <is>
          <t>Search API</t>
        </is>
      </c>
      <c r="D3" s="2" t="n">
        <v>100</v>
      </c>
      <c r="E3" s="2" t="n">
        <v>0.125</v>
      </c>
      <c r="F3" s="2" t="n">
        <v>1</v>
      </c>
      <c r="G3" s="2" t="n">
        <v>1</v>
      </c>
      <c r="H3" s="2" t="n">
        <v>0.1</v>
      </c>
      <c r="I3" s="2">
        <f>D3*E3*F3*G3*H3</f>
        <v/>
      </c>
      <c r="J3" t="inlineStr">
        <is>
          <t>verify</t>
        </is>
      </c>
    </row>
    <row r="4">
      <c r="A4" t="inlineStr">
        <is>
          <t>High</t>
        </is>
      </c>
      <c r="B4" t="inlineStr">
        <is>
          <t>Resolve inquiry</t>
        </is>
      </c>
      <c r="C4" t="inlineStr">
        <is>
          <t>Search API</t>
        </is>
      </c>
      <c r="D4" s="2" t="n">
        <v>100</v>
      </c>
      <c r="E4" s="2" t="n">
        <v>0.125</v>
      </c>
      <c r="F4" s="2" t="n">
        <v>1</v>
      </c>
      <c r="G4" s="2" t="n">
        <v>1</v>
      </c>
      <c r="H4" s="2" t="n">
        <v>0.1</v>
      </c>
      <c r="I4" s="2">
        <f>D4*E4*F4*G4*H4</f>
        <v/>
      </c>
      <c r="J4" t="inlineStr">
        <is>
          <t>verify</t>
        </is>
      </c>
    </row>
  </sheetData>
  <autoFilter ref="A1:J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Shared runtime</t>
        </is>
      </c>
      <c r="D2" s="2" t="n">
        <v>10</v>
      </c>
      <c r="E2" s="2" t="n">
        <v>150</v>
      </c>
      <c r="F2" s="2" t="n">
        <v>0.01</v>
      </c>
      <c r="G2" s="2" t="n">
        <v>187.5</v>
      </c>
      <c r="H2" s="2" t="n">
        <v>0.001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Shared runtime</t>
        </is>
      </c>
      <c r="D3" s="2" t="n">
        <v>10</v>
      </c>
      <c r="E3" s="2" t="n">
        <v>150</v>
      </c>
      <c r="F3" s="2" t="n">
        <v>0.01</v>
      </c>
      <c r="G3" s="2" t="n">
        <v>187.5</v>
      </c>
      <c r="H3" s="2" t="n">
        <v>0.001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Shared runtime</t>
        </is>
      </c>
      <c r="D4" s="2" t="n">
        <v>10</v>
      </c>
      <c r="E4" s="2" t="n">
        <v>150</v>
      </c>
      <c r="F4" s="2" t="n">
        <v>0.01</v>
      </c>
      <c r="G4" s="2" t="n">
        <v>187.5</v>
      </c>
      <c r="H4" s="2" t="n">
        <v>0.001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Resolve inquiry</t>
        </is>
      </c>
      <c r="C2" t="inlineStr">
        <is>
          <t>Resolve inquiry</t>
        </is>
      </c>
      <c r="D2" s="2" t="n">
        <v>100</v>
      </c>
      <c r="E2" s="2" t="n">
        <v>0.014675</v>
      </c>
      <c r="F2" s="2" t="n">
        <v>0.07791666666666666</v>
      </c>
      <c r="G2" s="2" t="n">
        <v>0.132225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Low</t>
        </is>
      </c>
      <c r="B3" t="inlineStr">
        <is>
          <t>Research documents</t>
        </is>
      </c>
      <c r="C3" t="inlineStr">
        <is>
          <t>Research documents</t>
        </is>
      </c>
      <c r="D3" s="2" t="n">
        <v>50</v>
      </c>
      <c r="E3" s="2" t="n">
        <v>0.00135</v>
      </c>
      <c r="F3" s="2" t="n">
        <v>0.07791666666666666</v>
      </c>
      <c r="G3" s="2" t="n">
        <v>0.07926666666666667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Expected</t>
        </is>
      </c>
      <c r="B4" t="inlineStr">
        <is>
          <t>Resolve inquiry</t>
        </is>
      </c>
      <c r="C4" t="inlineStr">
        <is>
          <t>Resolve inquiry</t>
        </is>
      </c>
      <c r="D4" s="2" t="n">
        <v>100</v>
      </c>
      <c r="E4" s="2" t="n">
        <v>0.0154</v>
      </c>
      <c r="F4" s="2" t="n">
        <v>0.07791666666666666</v>
      </c>
      <c r="G4" s="2" t="n">
        <v>0.133175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  <row r="5">
      <c r="A5" t="inlineStr">
        <is>
          <t>Expected</t>
        </is>
      </c>
      <c r="B5" t="inlineStr">
        <is>
          <t>Research documents</t>
        </is>
      </c>
      <c r="C5" t="inlineStr">
        <is>
          <t>Research documents</t>
        </is>
      </c>
      <c r="D5" s="2" t="n">
        <v>50</v>
      </c>
      <c r="E5" s="2" t="n">
        <v>0.0018</v>
      </c>
      <c r="F5" s="2" t="n">
        <v>0.07791666666666666</v>
      </c>
      <c r="G5" s="2" t="n">
        <v>0.07971666666666667</v>
      </c>
      <c r="H5" t="inlineStr">
        <is>
          <t>Complete</t>
        </is>
      </c>
      <c r="I5" t="inlineStr">
        <is>
          <t>Precomputed DAG rollup; inputs and direct calculations in other sheets</t>
        </is>
      </c>
    </row>
    <row r="6">
      <c r="A6" t="inlineStr">
        <is>
          <t>High</t>
        </is>
      </c>
      <c r="B6" t="inlineStr">
        <is>
          <t>Resolve inquiry</t>
        </is>
      </c>
      <c r="C6" t="inlineStr">
        <is>
          <t>Resolve inquiry</t>
        </is>
      </c>
      <c r="D6" s="2" t="n">
        <v>100</v>
      </c>
      <c r="E6" s="2" t="n">
        <v>0.01685</v>
      </c>
      <c r="F6" s="2" t="n">
        <v>0.07791666666666666</v>
      </c>
      <c r="G6" s="2" t="n">
        <v>0.135075</v>
      </c>
      <c r="H6" t="inlineStr">
        <is>
          <t>Complete</t>
        </is>
      </c>
      <c r="I6" t="inlineStr">
        <is>
          <t>Precomputed DAG rollup; inputs and direct calculations in other sheets</t>
        </is>
      </c>
    </row>
    <row r="7">
      <c r="A7" t="inlineStr">
        <is>
          <t>High</t>
        </is>
      </c>
      <c r="B7" t="inlineStr">
        <is>
          <t>Research documents</t>
        </is>
      </c>
      <c r="C7" t="inlineStr">
        <is>
          <t>Research documents</t>
        </is>
      </c>
      <c r="D7" s="2" t="n">
        <v>50</v>
      </c>
      <c r="E7" s="2" t="n">
        <v>0.0027</v>
      </c>
      <c r="F7" s="2" t="n">
        <v>0.07791666666666666</v>
      </c>
      <c r="G7" s="2" t="n">
        <v>0.08061666666666667</v>
      </c>
      <c r="H7" t="inlineStr">
        <is>
          <t>Complete</t>
        </is>
      </c>
      <c r="I7" t="inlineStr">
        <is>
          <t>Precomputed DAG rollup; inputs and direct calculations in other sheets</t>
        </is>
      </c>
    </row>
  </sheetData>
  <autoFilter ref="A1:I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SUMIF(Volume!B2:B3,A2,Volume!J2:J3)</f>
        <v/>
      </c>
    </row>
    <row r="3">
      <c r="A3" t="inlineStr">
        <is>
          <t>medium</t>
        </is>
      </c>
      <c r="B3" s="2">
        <f>SUMIF(Volume!B2:B3,A3,Volume!J2:J3)</f>
        <v/>
      </c>
    </row>
    <row r="4">
      <c r="A4" t="inlineStr">
        <is>
          <t>high</t>
        </is>
      </c>
      <c r="B4" s="2">
        <f>SUMIF(Volume!B2:B3,A4,Volume!J2:J3)</f>
        <v/>
      </c>
    </row>
  </sheetData>
  <autoFilter ref="A1:B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SUMIFS(Calculations!R2:R10,Calculations!A2:A10,A2)</f>
        <v/>
      </c>
      <c r="C2" s="2">
        <f>SUMIFS(Calculations!T2:T10,Calculations!A2:A10,A2)+SUMIFS(Calculations!V2:V10,Calculations!A2:A10,A2)+SUMIFS(Calculations!W2:W10,Calculations!A2:A10,A2)</f>
        <v/>
      </c>
      <c r="D2" s="2">
        <f>SUMIFS(Calculations!S2:S10,Calculations!A2:A10,A2)</f>
        <v/>
      </c>
      <c r="E2" s="2">
        <f>SUMIFS(Calculations!U2:U10,Calculations!A2:A10,A2)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SUMIFS(Calculations!R2:R10,Calculations!A2:A10,A3)</f>
        <v/>
      </c>
      <c r="C3" s="2">
        <f>SUMIFS(Calculations!T2:T10,Calculations!A2:A10,A3)+SUMIFS(Calculations!V2:V10,Calculations!A2:A10,A3)+SUMIFS(Calculations!W2:W10,Calculations!A2:A10,A3)</f>
        <v/>
      </c>
      <c r="D3" s="2">
        <f>SUMIFS(Calculations!S2:S10,Calculations!A2:A10,A3)</f>
        <v/>
      </c>
      <c r="E3" s="2">
        <f>SUMIFS(Calculations!U2:U10,Calculations!A2:A10,A3)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SUMIFS(Calculations!R2:R10,Calculations!A2:A10,A4)</f>
        <v/>
      </c>
      <c r="C4" s="2">
        <f>SUMIFS(Calculations!T2:T10,Calculations!A2:A10,A4)+SUMIFS(Calculations!V2:V10,Calculations!A2:A10,A4)+SUMIFS(Calculations!W2:W10,Calculations!A2:A10,A4)</f>
        <v/>
      </c>
      <c r="D4" s="2">
        <f>SUMIFS(Calculations!S2:S10,Calculations!A2:A10,A4)</f>
        <v/>
      </c>
      <c r="E4" s="2">
        <f>SUMIFS(Calculations!U2:U10,Calculations!A2:A10,A4)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A</t>
        </is>
      </c>
      <c r="B2" t="inlineStr">
        <is>
          <t>Fixture vendor A</t>
        </is>
      </c>
      <c r="C2" s="2" t="n">
        <v>2</v>
      </c>
      <c r="D2" s="2" t="n">
        <v>8</v>
      </c>
      <c r="G2" t="inlineStr">
        <is>
          <t>Versioned architect fixture</t>
        </is>
      </c>
      <c r="H2" t="inlineStr">
        <is>
          <t>2026-10-02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  <row r="3">
      <c r="A3" t="inlineStr">
        <is>
          <t>Fixture B</t>
        </is>
      </c>
      <c r="B3" t="inlineStr">
        <is>
          <t>Fixture vendor B</t>
        </is>
      </c>
      <c r="C3" s="2" t="n">
        <v>1</v>
      </c>
      <c r="D3" s="2" t="n">
        <v>4</v>
      </c>
      <c r="G3" t="inlineStr">
        <is>
          <t>Versioned architect fixture</t>
        </is>
      </c>
      <c r="H3" t="inlineStr">
        <is>
          <t>2026-10-02</t>
        </is>
      </c>
      <c r="I3" s="2" t="b">
        <v>1</v>
      </c>
      <c r="J3" t="inlineStr"/>
      <c r="K3" t="inlineStr"/>
      <c r="L3" t="inlineStr">
        <is>
          <t>vendor_api</t>
        </is>
      </c>
      <c r="M3" t="inlineStr"/>
      <c r="N3" t="inlineStr"/>
      <c r="O3" t="inlineStr">
        <is>
          <t>USD</t>
        </is>
      </c>
      <c r="P3" s="2" t="n">
        <v>1</v>
      </c>
      <c r="Q3" t="inlineStr"/>
      <c r="R3" t="inlineStr"/>
    </row>
  </sheetData>
  <autoFilter ref="A1:R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Agentic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Step options preserves model-or-agent choices for import, with row IDs, execution probabilities, and model assumptions. Step actions shows probability-weighted costs including children as precomputed explanatory results; do not add these to suite direct costs. Step options includes Low/High execution probabilities and agent-option probabilities/multiplicities; blank scenario values inherit Expected. Global Scenarios and frozen Pricing remain the current estimate when replacing inventory; use JSON for a complete scenario/pricing backup. Use JSON for a lossless backup.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9;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2026-10-05T15:24:16Z</dcterms:created>
  <dcterms:modified xsi:type="dcterms:W3CDTF">2026-10-05T15:24:16Z</dcterms:modified>
</cp:coreProperties>
</file>