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'Agents'!$A$1:$Q$4</definedName>
    <definedName name="_xlnm._FilterDatabase" localSheetId="3" hidden="1">'Step options'!$A$1:$U$7</definedName>
    <definedName name="_xlnm._FilterDatabase" localSheetId="4" hidden="1">'Step actions'!$A$1:$L$19</definedName>
    <definedName name="_xlnm._FilterDatabase" localSheetId="5" hidden="1">'Agent identities'!$A$1:$E$4</definedName>
    <definedName name="_xlnm._FilterDatabase" localSheetId="6" hidden="1">'Volume'!$A$1:$L$4</definedName>
    <definedName name="_xlnm._FilterDatabase" localSheetId="7" hidden="1">'Agent links'!$A$1:$L$7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cases'!$A$1:$I$10</definedName>
    <definedName name="_xlnm._FilterDatabase" localSheetId="11" hidden="1">'Category totals'!$A$1:$B$5</definedName>
    <definedName name="_xlnm._FilterDatabase" localSheetId="12" hidden="1">'Category usage'!$A$1:$F$5</definedName>
    <definedName name="_xlnm._FilterDatabase" localSheetId="13" hidden="1">'Category costs'!$A$1:$I$21</definedName>
    <definedName name="_xlnm._FilterDatabase" localSheetId="14" hidden="1">'Monthly scenario summary'!$A$1:$K$4</definedName>
    <definedName name="_xlnm._FilterDatabase" localSheetId="15" hidden="1">'Monthly category summary'!$A$1:$H$6</definedName>
    <definedName name="_xlnm._FilterDatabase" localSheetId="16" hidden="1">'Profiles'!$A$1:$G$5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Choose model</t>
        </is>
      </c>
      <c r="D2" t="inlineStr">
        <is>
          <t>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100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0.8</v>
      </c>
      <c r="AL2" t="inlineStr">
        <is>
          <t>Choose model</t>
        </is>
      </c>
      <c r="AM2" t="inlineStr"/>
    </row>
    <row r="3">
      <c r="A3" t="inlineStr">
        <is>
          <t>Low</t>
        </is>
      </c>
      <c r="B3" t="inlineStr">
        <is>
          <t>Root</t>
        </is>
      </c>
      <c r="C3" t="inlineStr">
        <is>
          <t>Choose model</t>
        </is>
      </c>
      <c r="D3" t="inlineStr">
        <is>
          <t>B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10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10</v>
      </c>
      <c r="AB3" s="2" t="n">
        <v>1</v>
      </c>
      <c r="AC3" s="2" t="n">
        <v>30</v>
      </c>
      <c r="AD3" s="2" t="n">
        <v>100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0.2</v>
      </c>
      <c r="AL3" t="inlineStr">
        <is>
          <t>Choose model</t>
        </is>
      </c>
      <c r="AM3" t="inlineStr"/>
    </row>
    <row r="4">
      <c r="A4" t="inlineStr">
        <is>
          <t>Low</t>
        </is>
      </c>
      <c r="B4" t="inlineStr">
        <is>
          <t>Child A</t>
        </is>
      </c>
      <c r="C4" t="inlineStr">
        <is>
          <t>Child A work</t>
        </is>
      </c>
      <c r="D4" t="inlineStr">
        <is>
          <t>A</t>
        </is>
      </c>
      <c r="E4" s="2" t="n">
        <v>1</v>
      </c>
      <c r="F4" s="2" t="n">
        <v>105</v>
      </c>
      <c r="G4" s="2">
        <f>AJ4*AK4</f>
        <v/>
      </c>
      <c r="H4" s="2" t="n">
        <v>0</v>
      </c>
      <c r="I4" s="2" t="n">
        <v>750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1</v>
      </c>
      <c r="AC4" s="2" t="n">
        <v>30</v>
      </c>
      <c r="AD4" s="2" t="n">
        <v>100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Child A work</t>
        </is>
      </c>
      <c r="AM4" t="inlineStr"/>
    </row>
    <row r="5">
      <c r="A5" t="inlineStr">
        <is>
          <t>Low</t>
        </is>
      </c>
      <c r="B5" t="inlineStr">
        <is>
          <t>Child B</t>
        </is>
      </c>
      <c r="C5" t="inlineStr">
        <is>
          <t>Child B work</t>
        </is>
      </c>
      <c r="D5" t="inlineStr">
        <is>
          <t>B</t>
        </is>
      </c>
      <c r="E5" s="2" t="n">
        <v>1</v>
      </c>
      <c r="F5" s="2" t="n">
        <v>45</v>
      </c>
      <c r="G5" s="2">
        <f>AJ5*AK5</f>
        <v/>
      </c>
      <c r="H5" s="2" t="n">
        <v>0</v>
      </c>
      <c r="I5" s="2" t="n">
        <v>750</v>
      </c>
      <c r="J5" s="2" t="n">
        <v>0</v>
      </c>
      <c r="K5" s="2" t="n">
        <v>0</v>
      </c>
      <c r="L5" s="2" t="n">
        <v>0</v>
      </c>
      <c r="M5" s="2" t="n">
        <v>10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0</v>
      </c>
      <c r="AB5" s="2" t="n">
        <v>1</v>
      </c>
      <c r="AC5" s="2" t="n">
        <v>30</v>
      </c>
      <c r="AD5" s="2" t="n">
        <v>100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Child B work</t>
        </is>
      </c>
      <c r="AM5" t="inlineStr"/>
    </row>
    <row r="6">
      <c r="A6" t="inlineStr">
        <is>
          <t>Expected</t>
        </is>
      </c>
      <c r="B6" t="inlineStr">
        <is>
          <t>Root</t>
        </is>
      </c>
      <c r="C6" t="inlineStr">
        <is>
          <t>Choose model</t>
        </is>
      </c>
      <c r="D6" t="inlineStr">
        <is>
          <t>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10</v>
      </c>
      <c r="AB6" s="2" t="n">
        <v>1</v>
      </c>
      <c r="AC6" s="2" t="n">
        <v>30</v>
      </c>
      <c r="AD6" s="2" t="n">
        <v>100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0.8</v>
      </c>
      <c r="AL6" t="inlineStr">
        <is>
          <t>Choose model</t>
        </is>
      </c>
      <c r="AM6" t="inlineStr"/>
    </row>
    <row r="7">
      <c r="A7" t="inlineStr">
        <is>
          <t>Expected</t>
        </is>
      </c>
      <c r="B7" t="inlineStr">
        <is>
          <t>Root</t>
        </is>
      </c>
      <c r="C7" t="inlineStr">
        <is>
          <t>Choose model</t>
        </is>
      </c>
      <c r="D7" t="inlineStr">
        <is>
          <t>B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0</v>
      </c>
      <c r="K7" s="2" t="n">
        <v>0</v>
      </c>
      <c r="L7" s="2" t="n">
        <v>0</v>
      </c>
      <c r="M7" s="2" t="n">
        <v>10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10</v>
      </c>
      <c r="AB7" s="2" t="n">
        <v>1</v>
      </c>
      <c r="AC7" s="2" t="n">
        <v>30</v>
      </c>
      <c r="AD7" s="2" t="n">
        <v>100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0.2</v>
      </c>
      <c r="AL7" t="inlineStr">
        <is>
          <t>Choose model</t>
        </is>
      </c>
      <c r="AM7" t="inlineStr"/>
    </row>
    <row r="8">
      <c r="A8" t="inlineStr">
        <is>
          <t>Expected</t>
        </is>
      </c>
      <c r="B8" t="inlineStr">
        <is>
          <t>Child A</t>
        </is>
      </c>
      <c r="C8" t="inlineStr">
        <is>
          <t>Child A work</t>
        </is>
      </c>
      <c r="D8" t="inlineStr">
        <is>
          <t>A</t>
        </is>
      </c>
      <c r="E8" s="2" t="n">
        <v>1</v>
      </c>
      <c r="F8" s="2" t="n">
        <v>105</v>
      </c>
      <c r="G8" s="2">
        <f>AJ8*AK8</f>
        <v/>
      </c>
      <c r="H8" s="2" t="n">
        <v>0</v>
      </c>
      <c r="I8" s="2" t="n">
        <v>1000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1</v>
      </c>
      <c r="AC8" s="2" t="n">
        <v>30</v>
      </c>
      <c r="AD8" s="2" t="n">
        <v>100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Child A work</t>
        </is>
      </c>
      <c r="AM8" t="inlineStr"/>
    </row>
    <row r="9">
      <c r="A9" t="inlineStr">
        <is>
          <t>Expected</t>
        </is>
      </c>
      <c r="B9" t="inlineStr">
        <is>
          <t>Child B</t>
        </is>
      </c>
      <c r="C9" t="inlineStr">
        <is>
          <t>Child B work</t>
        </is>
      </c>
      <c r="D9" t="inlineStr">
        <is>
          <t>B</t>
        </is>
      </c>
      <c r="E9" s="2" t="n">
        <v>1</v>
      </c>
      <c r="F9" s="2" t="n">
        <v>45</v>
      </c>
      <c r="G9" s="2">
        <f>AJ9*AK9</f>
        <v/>
      </c>
      <c r="H9" s="2" t="n">
        <v>0</v>
      </c>
      <c r="I9" s="2" t="n">
        <v>1000</v>
      </c>
      <c r="J9" s="2" t="n">
        <v>0</v>
      </c>
      <c r="K9" s="2" t="n">
        <v>0</v>
      </c>
      <c r="L9" s="2" t="n">
        <v>0</v>
      </c>
      <c r="M9" s="2" t="n">
        <v>10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1</v>
      </c>
      <c r="AC9" s="2" t="n">
        <v>30</v>
      </c>
      <c r="AD9" s="2" t="n">
        <v>100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Child B work</t>
        </is>
      </c>
      <c r="AM9" t="inlineStr"/>
    </row>
    <row r="10">
      <c r="A10" t="inlineStr">
        <is>
          <t>High</t>
        </is>
      </c>
      <c r="B10" t="inlineStr">
        <is>
          <t>Root</t>
        </is>
      </c>
      <c r="C10" t="inlineStr">
        <is>
          <t>Choose model</t>
        </is>
      </c>
      <c r="D10" t="inlineStr">
        <is>
          <t>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10</v>
      </c>
      <c r="AB10" s="2" t="n">
        <v>1</v>
      </c>
      <c r="AC10" s="2" t="n">
        <v>30</v>
      </c>
      <c r="AD10" s="2" t="n">
        <v>100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0.8</v>
      </c>
      <c r="AL10" t="inlineStr">
        <is>
          <t>Choose model</t>
        </is>
      </c>
      <c r="AM10" t="inlineStr"/>
    </row>
    <row r="11">
      <c r="A11" t="inlineStr">
        <is>
          <t>High</t>
        </is>
      </c>
      <c r="B11" t="inlineStr">
        <is>
          <t>Root</t>
        </is>
      </c>
      <c r="C11" t="inlineStr">
        <is>
          <t>Choose model</t>
        </is>
      </c>
      <c r="D11" t="inlineStr">
        <is>
          <t>B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1500</v>
      </c>
      <c r="J11" s="2" t="n">
        <v>0</v>
      </c>
      <c r="K11" s="2" t="n">
        <v>0</v>
      </c>
      <c r="L11" s="2" t="n">
        <v>0</v>
      </c>
      <c r="M11" s="2" t="n">
        <v>10</v>
      </c>
      <c r="N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10</v>
      </c>
      <c r="AB11" s="2" t="n">
        <v>1</v>
      </c>
      <c r="AC11" s="2" t="n">
        <v>30</v>
      </c>
      <c r="AD11" s="2" t="n">
        <v>100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0.2</v>
      </c>
      <c r="AL11" t="inlineStr">
        <is>
          <t>Choose model</t>
        </is>
      </c>
      <c r="AM11" t="inlineStr"/>
    </row>
    <row r="12">
      <c r="A12" t="inlineStr">
        <is>
          <t>High</t>
        </is>
      </c>
      <c r="B12" t="inlineStr">
        <is>
          <t>Child A</t>
        </is>
      </c>
      <c r="C12" t="inlineStr">
        <is>
          <t>Child A work</t>
        </is>
      </c>
      <c r="D12" t="inlineStr">
        <is>
          <t>A</t>
        </is>
      </c>
      <c r="E12" s="2" t="n">
        <v>1</v>
      </c>
      <c r="F12" s="2" t="n">
        <v>105</v>
      </c>
      <c r="G12" s="2">
        <f>AJ12*AK12</f>
        <v/>
      </c>
      <c r="H12" s="2" t="n">
        <v>0</v>
      </c>
      <c r="I12" s="2" t="n">
        <v>1500</v>
      </c>
      <c r="J12" s="2" t="n">
        <v>0</v>
      </c>
      <c r="K12" s="2" t="n">
        <v>0</v>
      </c>
      <c r="L12" s="2" t="n">
        <v>0</v>
      </c>
      <c r="M12" s="2" t="n">
        <v>2</v>
      </c>
      <c r="N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0</v>
      </c>
      <c r="AB12" s="2" t="n">
        <v>1</v>
      </c>
      <c r="AC12" s="2" t="n">
        <v>30</v>
      </c>
      <c r="AD12" s="2" t="n">
        <v>100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Child A work</t>
        </is>
      </c>
      <c r="AM12" t="inlineStr"/>
    </row>
    <row r="13">
      <c r="A13" t="inlineStr">
        <is>
          <t>High</t>
        </is>
      </c>
      <c r="B13" t="inlineStr">
        <is>
          <t>Child B</t>
        </is>
      </c>
      <c r="C13" t="inlineStr">
        <is>
          <t>Child B work</t>
        </is>
      </c>
      <c r="D13" t="inlineStr">
        <is>
          <t>B</t>
        </is>
      </c>
      <c r="E13" s="2" t="n">
        <v>1</v>
      </c>
      <c r="F13" s="2" t="n">
        <v>45</v>
      </c>
      <c r="G13" s="2">
        <f>AJ13*AK13</f>
        <v/>
      </c>
      <c r="H13" s="2" t="n">
        <v>0</v>
      </c>
      <c r="I13" s="2" t="n">
        <v>1500</v>
      </c>
      <c r="J13" s="2" t="n">
        <v>0</v>
      </c>
      <c r="K13" s="2" t="n">
        <v>0</v>
      </c>
      <c r="L13" s="2" t="n">
        <v>0</v>
      </c>
      <c r="M13" s="2" t="n">
        <v>10</v>
      </c>
      <c r="N13" s="2" t="n">
        <v>0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1</v>
      </c>
      <c r="AC13" s="2" t="n">
        <v>30</v>
      </c>
      <c r="AD13" s="2" t="n">
        <v>100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Child B work</t>
        </is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s="2" t="n">
        <v>100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Root</t>
        </is>
      </c>
      <c r="P2" t="inlineStr">
        <is>
          <t>Business use case pending description</t>
        </is>
      </c>
      <c r="Q2" t="inlineStr">
        <is>
          <t>Root</t>
        </is>
      </c>
    </row>
    <row r="3">
      <c r="A3" t="inlineStr">
        <is>
          <t>Child A</t>
        </is>
      </c>
      <c r="B3" t="inlineStr">
        <is>
          <t>simple</t>
        </is>
      </c>
      <c r="C3" s="2" t="n">
        <v>1</v>
      </c>
      <c r="D3" s="2" t="n">
        <v>100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1</v>
      </c>
      <c r="O3" t="inlineStr">
        <is>
          <t>Child A</t>
        </is>
      </c>
      <c r="P3" t="inlineStr">
        <is>
          <t>Business use case pending description</t>
        </is>
      </c>
      <c r="Q3" t="inlineStr">
        <is>
          <t>Child A</t>
        </is>
      </c>
    </row>
    <row r="4">
      <c r="A4" t="inlineStr">
        <is>
          <t>Child B</t>
        </is>
      </c>
      <c r="B4" t="inlineStr">
        <is>
          <t>simple</t>
        </is>
      </c>
      <c r="C4" s="2" t="n">
        <v>1</v>
      </c>
      <c r="D4" s="2" t="n">
        <v>100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1</v>
      </c>
      <c r="O4" t="inlineStr">
        <is>
          <t>Child B</t>
        </is>
      </c>
      <c r="P4" t="inlineStr">
        <is>
          <t>Business use case pending description</t>
        </is>
      </c>
      <c r="Q4" t="inlineStr">
        <is>
          <t>Child B</t>
        </is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Root</t>
        </is>
      </c>
      <c r="B2" t="inlineStr">
        <is>
          <t>Choose model</t>
        </is>
      </c>
      <c r="C2" t="inlineStr">
        <is>
          <t>Choose model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call-A</t>
        </is>
      </c>
      <c r="I2" t="inlineStr">
        <is>
          <t>0.8</t>
        </is>
      </c>
      <c r="J2" t="inlineStr">
        <is>
          <t>A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Root</t>
        </is>
      </c>
      <c r="B3" t="inlineStr">
        <is>
          <t>Choose model</t>
        </is>
      </c>
      <c r="C3" t="inlineStr">
        <is>
          <t>Choose model</t>
        </is>
      </c>
      <c r="D3" s="2" t="n">
        <v>1</v>
      </c>
      <c r="E3" t="inlineStr">
        <is>
          <t>model</t>
        </is>
      </c>
      <c r="F3" t="inlineStr">
        <is>
          <t>1</t>
        </is>
      </c>
      <c r="G3" t="inlineStr">
        <is>
          <t>simple</t>
        </is>
      </c>
      <c r="H3" t="inlineStr">
        <is>
          <t>call-B</t>
        </is>
      </c>
      <c r="I3" t="inlineStr">
        <is>
          <t>0.2</t>
        </is>
      </c>
      <c r="J3" t="inlineStr">
        <is>
          <t>B</t>
        </is>
      </c>
      <c r="L3" t="inlineStr">
        <is>
          <t>1</t>
        </is>
      </c>
      <c r="M3" t="inlineStr">
        <is>
          <t>1000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Root</t>
        </is>
      </c>
      <c r="B4" t="inlineStr">
        <is>
          <t>delegate</t>
        </is>
      </c>
      <c r="C4" t="inlineStr">
        <is>
          <t>Delegate</t>
        </is>
      </c>
      <c r="D4" s="2" t="n">
        <v>2</v>
      </c>
      <c r="E4" t="inlineStr">
        <is>
          <t>agent</t>
        </is>
      </c>
      <c r="F4" t="inlineStr">
        <is>
          <t>0.5</t>
        </is>
      </c>
      <c r="G4" t="inlineStr">
        <is>
          <t>simple</t>
        </is>
      </c>
      <c r="H4" t="inlineStr">
        <is>
          <t>to-a</t>
        </is>
      </c>
      <c r="I4" t="inlineStr">
        <is>
          <t>0.7</t>
        </is>
      </c>
      <c r="K4" t="inlineStr">
        <is>
          <t>Child A</t>
        </is>
      </c>
    </row>
    <row r="5">
      <c r="A5" t="inlineStr">
        <is>
          <t>Root</t>
        </is>
      </c>
      <c r="B5" t="inlineStr">
        <is>
          <t>delegate</t>
        </is>
      </c>
      <c r="C5" t="inlineStr">
        <is>
          <t>Delegate</t>
        </is>
      </c>
      <c r="D5" s="2" t="n">
        <v>2</v>
      </c>
      <c r="E5" t="inlineStr">
        <is>
          <t>agent</t>
        </is>
      </c>
      <c r="F5" t="inlineStr">
        <is>
          <t>0.5</t>
        </is>
      </c>
      <c r="G5" t="inlineStr">
        <is>
          <t>simple</t>
        </is>
      </c>
      <c r="H5" t="inlineStr">
        <is>
          <t>to-b</t>
        </is>
      </c>
      <c r="I5" t="inlineStr">
        <is>
          <t>0.3</t>
        </is>
      </c>
      <c r="K5" t="inlineStr">
        <is>
          <t>Child B</t>
        </is>
      </c>
    </row>
    <row r="6">
      <c r="A6" t="inlineStr">
        <is>
          <t>Child A</t>
        </is>
      </c>
      <c r="B6" t="inlineStr">
        <is>
          <t>Child A work</t>
        </is>
      </c>
      <c r="C6" t="inlineStr">
        <is>
          <t>Child A work</t>
        </is>
      </c>
      <c r="D6" s="2" t="n">
        <v>1</v>
      </c>
      <c r="E6" t="inlineStr">
        <is>
          <t>model</t>
        </is>
      </c>
      <c r="F6" t="inlineStr">
        <is>
          <t>1</t>
        </is>
      </c>
      <c r="G6" t="inlineStr">
        <is>
          <t>simple</t>
        </is>
      </c>
      <c r="H6" t="inlineStr">
        <is>
          <t>call-A</t>
        </is>
      </c>
      <c r="I6" t="inlineStr">
        <is>
          <t>1</t>
        </is>
      </c>
      <c r="J6" t="inlineStr">
        <is>
          <t>A</t>
        </is>
      </c>
      <c r="L6" t="inlineStr">
        <is>
          <t>1</t>
        </is>
      </c>
      <c r="M6" t="inlineStr">
        <is>
          <t>1000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Child B</t>
        </is>
      </c>
      <c r="B7" t="inlineStr">
        <is>
          <t>Child B work</t>
        </is>
      </c>
      <c r="C7" t="inlineStr">
        <is>
          <t>Child B work</t>
        </is>
      </c>
      <c r="D7" s="2" t="n">
        <v>1</v>
      </c>
      <c r="E7" t="inlineStr">
        <is>
          <t>model</t>
        </is>
      </c>
      <c r="F7" t="inlineStr">
        <is>
          <t>1</t>
        </is>
      </c>
      <c r="G7" t="inlineStr">
        <is>
          <t>simple</t>
        </is>
      </c>
      <c r="H7" t="inlineStr">
        <is>
          <t>call-B</t>
        </is>
      </c>
      <c r="I7" t="inlineStr">
        <is>
          <t>1</t>
        </is>
      </c>
      <c r="J7" t="inlineStr">
        <is>
          <t>B</t>
        </is>
      </c>
      <c r="L7" t="inlineStr">
        <is>
          <t>1</t>
        </is>
      </c>
      <c r="M7" t="inlineStr">
        <is>
          <t>1000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</sheetData>
  <autoFilter ref="A1:U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Choose model</t>
        </is>
      </c>
      <c r="D2" t="inlineStr">
        <is>
          <t>model</t>
        </is>
      </c>
      <c r="E2" t="inlineStr">
        <is>
          <t>1</t>
        </is>
      </c>
      <c r="F2" t="inlineStr">
        <is>
          <t>call-A</t>
        </is>
      </c>
      <c r="G2" t="inlineStr">
        <is>
          <t>A</t>
        </is>
      </c>
      <c r="H2" s="2" t="n">
        <v>0.8</v>
      </c>
      <c r="I2" s="2" t="n">
        <v>0.0015</v>
      </c>
      <c r="J2" s="2" t="n">
        <v>0.0012</v>
      </c>
      <c r="K2" s="2" t="n">
        <v>0.8100000000000001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Root</t>
        </is>
      </c>
      <c r="C3" t="inlineStr">
        <is>
          <t>Choose model</t>
        </is>
      </c>
      <c r="D3" t="inlineStr">
        <is>
          <t>model</t>
        </is>
      </c>
      <c r="E3" t="inlineStr">
        <is>
          <t>1</t>
        </is>
      </c>
      <c r="F3" t="inlineStr">
        <is>
          <t>call-B</t>
        </is>
      </c>
      <c r="G3" t="inlineStr">
        <is>
          <t>B</t>
        </is>
      </c>
      <c r="H3" s="2" t="n">
        <v>0.2</v>
      </c>
      <c r="I3" s="2" t="n">
        <v>0.0075</v>
      </c>
      <c r="J3" s="2" t="n">
        <v>0.0015</v>
      </c>
      <c r="K3" s="2" t="n">
        <v>0.8100000000000001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Root</t>
        </is>
      </c>
      <c r="C4" t="inlineStr">
        <is>
          <t>Delegate</t>
        </is>
      </c>
      <c r="D4" t="inlineStr">
        <is>
          <t>agent</t>
        </is>
      </c>
      <c r="E4" t="inlineStr">
        <is>
          <t>0.5</t>
        </is>
      </c>
      <c r="F4" t="inlineStr">
        <is>
          <t>to-a</t>
        </is>
      </c>
      <c r="G4" t="inlineStr">
        <is>
          <t>Child A</t>
        </is>
      </c>
      <c r="H4" s="2" t="n">
        <v>0.7</v>
      </c>
      <c r="I4" s="2" t="n">
        <v>0.0015</v>
      </c>
      <c r="J4" s="2" t="n">
        <v>0.00105</v>
      </c>
      <c r="K4" s="2" t="n">
        <v>0.495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Root</t>
        </is>
      </c>
      <c r="C5" t="inlineStr">
        <is>
          <t>Delegate</t>
        </is>
      </c>
      <c r="D5" t="inlineStr">
        <is>
          <t>agent</t>
        </is>
      </c>
      <c r="E5" t="inlineStr">
        <is>
          <t>0.5</t>
        </is>
      </c>
      <c r="F5" t="inlineStr">
        <is>
          <t>to-b</t>
        </is>
      </c>
      <c r="G5" t="inlineStr">
        <is>
          <t>Child B</t>
        </is>
      </c>
      <c r="H5" s="2" t="n">
        <v>0.3</v>
      </c>
      <c r="I5" s="2" t="n">
        <v>0.0075</v>
      </c>
      <c r="J5" s="2" t="n">
        <v>0.00225</v>
      </c>
      <c r="K5" s="2" t="n">
        <v>0.495</v>
      </c>
      <c r="L5" t="inlineStr">
        <is>
          <t>Complete</t>
        </is>
      </c>
    </row>
    <row r="6">
      <c r="A6" t="inlineStr">
        <is>
          <t>Low</t>
        </is>
      </c>
      <c r="B6" t="inlineStr">
        <is>
          <t>Child A</t>
        </is>
      </c>
      <c r="C6" t="inlineStr">
        <is>
          <t>Child A work</t>
        </is>
      </c>
      <c r="D6" t="inlineStr">
        <is>
          <t>model</t>
        </is>
      </c>
      <c r="E6" t="inlineStr">
        <is>
          <t>1</t>
        </is>
      </c>
      <c r="F6" t="inlineStr">
        <is>
          <t>call-A</t>
        </is>
      </c>
      <c r="G6" t="inlineStr">
        <is>
          <t>A</t>
        </is>
      </c>
      <c r="H6" s="2" t="n">
        <v>1</v>
      </c>
      <c r="I6" s="2" t="n">
        <v>0.0015</v>
      </c>
      <c r="J6" s="2" t="n">
        <v>0.0015</v>
      </c>
      <c r="K6" s="2" t="n">
        <v>0.1575</v>
      </c>
      <c r="L6" t="inlineStr">
        <is>
          <t>Complete</t>
        </is>
      </c>
    </row>
    <row r="7">
      <c r="A7" t="inlineStr">
        <is>
          <t>Low</t>
        </is>
      </c>
      <c r="B7" t="inlineStr">
        <is>
          <t>Child B</t>
        </is>
      </c>
      <c r="C7" t="inlineStr">
        <is>
          <t>Child B work</t>
        </is>
      </c>
      <c r="D7" t="inlineStr">
        <is>
          <t>model</t>
        </is>
      </c>
      <c r="E7" t="inlineStr">
        <is>
          <t>1</t>
        </is>
      </c>
      <c r="F7" t="inlineStr">
        <is>
          <t>call-B</t>
        </is>
      </c>
      <c r="G7" t="inlineStr">
        <is>
          <t>B</t>
        </is>
      </c>
      <c r="H7" s="2" t="n">
        <v>1</v>
      </c>
      <c r="I7" s="2" t="n">
        <v>0.0075</v>
      </c>
      <c r="J7" s="2" t="n">
        <v>0.0075</v>
      </c>
      <c r="K7" s="2" t="n">
        <v>0.3375</v>
      </c>
      <c r="L7" t="inlineStr">
        <is>
          <t>Complete</t>
        </is>
      </c>
    </row>
    <row r="8">
      <c r="A8" t="inlineStr">
        <is>
          <t>Expected</t>
        </is>
      </c>
      <c r="B8" t="inlineStr">
        <is>
          <t>Root</t>
        </is>
      </c>
      <c r="C8" t="inlineStr">
        <is>
          <t>Choose model</t>
        </is>
      </c>
      <c r="D8" t="inlineStr">
        <is>
          <t>model</t>
        </is>
      </c>
      <c r="E8" t="inlineStr">
        <is>
          <t>1</t>
        </is>
      </c>
      <c r="F8" t="inlineStr">
        <is>
          <t>call-A</t>
        </is>
      </c>
      <c r="G8" t="inlineStr">
        <is>
          <t>A</t>
        </is>
      </c>
      <c r="H8" s="2" t="n">
        <v>0.8</v>
      </c>
      <c r="I8" s="2" t="n">
        <v>0.002</v>
      </c>
      <c r="J8" s="2" t="n">
        <v>0.0016</v>
      </c>
      <c r="K8" s="2" t="n">
        <v>1.08</v>
      </c>
      <c r="L8" t="inlineStr">
        <is>
          <t>Complete</t>
        </is>
      </c>
    </row>
    <row r="9">
      <c r="A9" t="inlineStr">
        <is>
          <t>Expected</t>
        </is>
      </c>
      <c r="B9" t="inlineStr">
        <is>
          <t>Root</t>
        </is>
      </c>
      <c r="C9" t="inlineStr">
        <is>
          <t>Choose model</t>
        </is>
      </c>
      <c r="D9" t="inlineStr">
        <is>
          <t>model</t>
        </is>
      </c>
      <c r="E9" t="inlineStr">
        <is>
          <t>1</t>
        </is>
      </c>
      <c r="F9" t="inlineStr">
        <is>
          <t>call-B</t>
        </is>
      </c>
      <c r="G9" t="inlineStr">
        <is>
          <t>B</t>
        </is>
      </c>
      <c r="H9" s="2" t="n">
        <v>0.2</v>
      </c>
      <c r="I9" s="2" t="n">
        <v>0.01</v>
      </c>
      <c r="J9" s="2" t="n">
        <v>0.002</v>
      </c>
      <c r="K9" s="2" t="n">
        <v>1.08</v>
      </c>
      <c r="L9" t="inlineStr">
        <is>
          <t>Complete</t>
        </is>
      </c>
    </row>
    <row r="10">
      <c r="A10" t="inlineStr">
        <is>
          <t>Expected</t>
        </is>
      </c>
      <c r="B10" t="inlineStr">
        <is>
          <t>Root</t>
        </is>
      </c>
      <c r="C10" t="inlineStr">
        <is>
          <t>Delegate</t>
        </is>
      </c>
      <c r="D10" t="inlineStr">
        <is>
          <t>agent</t>
        </is>
      </c>
      <c r="E10" t="inlineStr">
        <is>
          <t>0.5</t>
        </is>
      </c>
      <c r="F10" t="inlineStr">
        <is>
          <t>to-a</t>
        </is>
      </c>
      <c r="G10" t="inlineStr">
        <is>
          <t>Child A</t>
        </is>
      </c>
      <c r="H10" s="2" t="n">
        <v>0.7</v>
      </c>
      <c r="I10" s="2" t="n">
        <v>0.002</v>
      </c>
      <c r="J10" s="2" t="n">
        <v>0.0014</v>
      </c>
      <c r="K10" s="2" t="n">
        <v>0.66</v>
      </c>
      <c r="L10" t="inlineStr">
        <is>
          <t>Complete</t>
        </is>
      </c>
    </row>
    <row r="11">
      <c r="A11" t="inlineStr">
        <is>
          <t>Expected</t>
        </is>
      </c>
      <c r="B11" t="inlineStr">
        <is>
          <t>Root</t>
        </is>
      </c>
      <c r="C11" t="inlineStr">
        <is>
          <t>Delegate</t>
        </is>
      </c>
      <c r="D11" t="inlineStr">
        <is>
          <t>agent</t>
        </is>
      </c>
      <c r="E11" t="inlineStr">
        <is>
          <t>0.5</t>
        </is>
      </c>
      <c r="F11" t="inlineStr">
        <is>
          <t>to-b</t>
        </is>
      </c>
      <c r="G11" t="inlineStr">
        <is>
          <t>Child B</t>
        </is>
      </c>
      <c r="H11" s="2" t="n">
        <v>0.3</v>
      </c>
      <c r="I11" s="2" t="n">
        <v>0.01</v>
      </c>
      <c r="J11" s="2" t="n">
        <v>0.003</v>
      </c>
      <c r="K11" s="2" t="n">
        <v>0.66</v>
      </c>
      <c r="L11" t="inlineStr">
        <is>
          <t>Complete</t>
        </is>
      </c>
    </row>
    <row r="12">
      <c r="A12" t="inlineStr">
        <is>
          <t>Expected</t>
        </is>
      </c>
      <c r="B12" t="inlineStr">
        <is>
          <t>Child A</t>
        </is>
      </c>
      <c r="C12" t="inlineStr">
        <is>
          <t>Child A work</t>
        </is>
      </c>
      <c r="D12" t="inlineStr">
        <is>
          <t>model</t>
        </is>
      </c>
      <c r="E12" t="inlineStr">
        <is>
          <t>1</t>
        </is>
      </c>
      <c r="F12" t="inlineStr">
        <is>
          <t>call-A</t>
        </is>
      </c>
      <c r="G12" t="inlineStr">
        <is>
          <t>A</t>
        </is>
      </c>
      <c r="H12" s="2" t="n">
        <v>1</v>
      </c>
      <c r="I12" s="2" t="n">
        <v>0.002</v>
      </c>
      <c r="J12" s="2" t="n">
        <v>0.002</v>
      </c>
      <c r="K12" s="2" t="n">
        <v>0.21</v>
      </c>
      <c r="L12" t="inlineStr">
        <is>
          <t>Complete</t>
        </is>
      </c>
    </row>
    <row r="13">
      <c r="A13" t="inlineStr">
        <is>
          <t>Expected</t>
        </is>
      </c>
      <c r="B13" t="inlineStr">
        <is>
          <t>Child B</t>
        </is>
      </c>
      <c r="C13" t="inlineStr">
        <is>
          <t>Child B work</t>
        </is>
      </c>
      <c r="D13" t="inlineStr">
        <is>
          <t>model</t>
        </is>
      </c>
      <c r="E13" t="inlineStr">
        <is>
          <t>1</t>
        </is>
      </c>
      <c r="F13" t="inlineStr">
        <is>
          <t>call-B</t>
        </is>
      </c>
      <c r="G13" t="inlineStr">
        <is>
          <t>B</t>
        </is>
      </c>
      <c r="H13" s="2" t="n">
        <v>1</v>
      </c>
      <c r="I13" s="2" t="n">
        <v>0.01</v>
      </c>
      <c r="J13" s="2" t="n">
        <v>0.01</v>
      </c>
      <c r="K13" s="2" t="n">
        <v>0.45</v>
      </c>
      <c r="L13" t="inlineStr">
        <is>
          <t>Complete</t>
        </is>
      </c>
    </row>
    <row r="14">
      <c r="A14" t="inlineStr">
        <is>
          <t>High</t>
        </is>
      </c>
      <c r="B14" t="inlineStr">
        <is>
          <t>Root</t>
        </is>
      </c>
      <c r="C14" t="inlineStr">
        <is>
          <t>Choose model</t>
        </is>
      </c>
      <c r="D14" t="inlineStr">
        <is>
          <t>model</t>
        </is>
      </c>
      <c r="E14" t="inlineStr">
        <is>
          <t>1</t>
        </is>
      </c>
      <c r="F14" t="inlineStr">
        <is>
          <t>call-A</t>
        </is>
      </c>
      <c r="G14" t="inlineStr">
        <is>
          <t>A</t>
        </is>
      </c>
      <c r="H14" s="2" t="n">
        <v>0.8</v>
      </c>
      <c r="I14" s="2" t="n">
        <v>0.003</v>
      </c>
      <c r="J14" s="2" t="n">
        <v>0.0024</v>
      </c>
      <c r="K14" s="2" t="n">
        <v>1.62</v>
      </c>
      <c r="L14" t="inlineStr">
        <is>
          <t>Complete</t>
        </is>
      </c>
    </row>
    <row r="15">
      <c r="A15" t="inlineStr">
        <is>
          <t>High</t>
        </is>
      </c>
      <c r="B15" t="inlineStr">
        <is>
          <t>Root</t>
        </is>
      </c>
      <c r="C15" t="inlineStr">
        <is>
          <t>Choose model</t>
        </is>
      </c>
      <c r="D15" t="inlineStr">
        <is>
          <t>model</t>
        </is>
      </c>
      <c r="E15" t="inlineStr">
        <is>
          <t>1</t>
        </is>
      </c>
      <c r="F15" t="inlineStr">
        <is>
          <t>call-B</t>
        </is>
      </c>
      <c r="G15" t="inlineStr">
        <is>
          <t>B</t>
        </is>
      </c>
      <c r="H15" s="2" t="n">
        <v>0.2</v>
      </c>
      <c r="I15" s="2" t="n">
        <v>0.015</v>
      </c>
      <c r="J15" s="2" t="n">
        <v>0.003</v>
      </c>
      <c r="K15" s="2" t="n">
        <v>1.62</v>
      </c>
      <c r="L15" t="inlineStr">
        <is>
          <t>Complete</t>
        </is>
      </c>
    </row>
    <row r="16">
      <c r="A16" t="inlineStr">
        <is>
          <t>High</t>
        </is>
      </c>
      <c r="B16" t="inlineStr">
        <is>
          <t>Root</t>
        </is>
      </c>
      <c r="C16" t="inlineStr">
        <is>
          <t>Delegate</t>
        </is>
      </c>
      <c r="D16" t="inlineStr">
        <is>
          <t>agent</t>
        </is>
      </c>
      <c r="E16" t="inlineStr">
        <is>
          <t>0.5</t>
        </is>
      </c>
      <c r="F16" t="inlineStr">
        <is>
          <t>to-a</t>
        </is>
      </c>
      <c r="G16" t="inlineStr">
        <is>
          <t>Child A</t>
        </is>
      </c>
      <c r="H16" s="2" t="n">
        <v>0.7</v>
      </c>
      <c r="I16" s="2" t="n">
        <v>0.003</v>
      </c>
      <c r="J16" s="2" t="n">
        <v>0.0021</v>
      </c>
      <c r="K16" s="2" t="n">
        <v>0.99</v>
      </c>
      <c r="L16" t="inlineStr">
        <is>
          <t>Complete</t>
        </is>
      </c>
    </row>
    <row r="17">
      <c r="A17" t="inlineStr">
        <is>
          <t>High</t>
        </is>
      </c>
      <c r="B17" t="inlineStr">
        <is>
          <t>Root</t>
        </is>
      </c>
      <c r="C17" t="inlineStr">
        <is>
          <t>Delegate</t>
        </is>
      </c>
      <c r="D17" t="inlineStr">
        <is>
          <t>agent</t>
        </is>
      </c>
      <c r="E17" t="inlineStr">
        <is>
          <t>0.5</t>
        </is>
      </c>
      <c r="F17" t="inlineStr">
        <is>
          <t>to-b</t>
        </is>
      </c>
      <c r="G17" t="inlineStr">
        <is>
          <t>Child B</t>
        </is>
      </c>
      <c r="H17" s="2" t="n">
        <v>0.3</v>
      </c>
      <c r="I17" s="2" t="n">
        <v>0.015</v>
      </c>
      <c r="J17" s="2" t="n">
        <v>0.0045</v>
      </c>
      <c r="K17" s="2" t="n">
        <v>0.99</v>
      </c>
      <c r="L17" t="inlineStr">
        <is>
          <t>Complete</t>
        </is>
      </c>
    </row>
    <row r="18">
      <c r="A18" t="inlineStr">
        <is>
          <t>High</t>
        </is>
      </c>
      <c r="B18" t="inlineStr">
        <is>
          <t>Child A</t>
        </is>
      </c>
      <c r="C18" t="inlineStr">
        <is>
          <t>Child A work</t>
        </is>
      </c>
      <c r="D18" t="inlineStr">
        <is>
          <t>model</t>
        </is>
      </c>
      <c r="E18" t="inlineStr">
        <is>
          <t>1</t>
        </is>
      </c>
      <c r="F18" t="inlineStr">
        <is>
          <t>call-A</t>
        </is>
      </c>
      <c r="G18" t="inlineStr">
        <is>
          <t>A</t>
        </is>
      </c>
      <c r="H18" s="2" t="n">
        <v>1</v>
      </c>
      <c r="I18" s="2" t="n">
        <v>0.003</v>
      </c>
      <c r="J18" s="2" t="n">
        <v>0.003</v>
      </c>
      <c r="K18" s="2" t="n">
        <v>0.315</v>
      </c>
      <c r="L18" t="inlineStr">
        <is>
          <t>Complete</t>
        </is>
      </c>
    </row>
    <row r="19">
      <c r="A19" t="inlineStr">
        <is>
          <t>High</t>
        </is>
      </c>
      <c r="B19" t="inlineStr">
        <is>
          <t>Child B</t>
        </is>
      </c>
      <c r="C19" t="inlineStr">
        <is>
          <t>Child B work</t>
        </is>
      </c>
      <c r="D19" t="inlineStr">
        <is>
          <t>model</t>
        </is>
      </c>
      <c r="E19" t="inlineStr">
        <is>
          <t>1</t>
        </is>
      </c>
      <c r="F19" t="inlineStr">
        <is>
          <t>call-B</t>
        </is>
      </c>
      <c r="G19" t="inlineStr">
        <is>
          <t>B</t>
        </is>
      </c>
      <c r="H19" s="2" t="n">
        <v>1</v>
      </c>
      <c r="I19" s="2" t="n">
        <v>0.015</v>
      </c>
      <c r="J19" s="2" t="n">
        <v>0.015</v>
      </c>
      <c r="K19" s="2" t="n">
        <v>0.675</v>
      </c>
      <c r="L19" t="inlineStr">
        <is>
          <t>Complete</t>
        </is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Root</t>
        </is>
      </c>
      <c r="B2" t="inlineStr">
        <is>
          <t>Root</t>
        </is>
      </c>
      <c r="C2" t="inlineStr">
        <is>
          <t>Root</t>
        </is>
      </c>
      <c r="D2" t="inlineStr">
        <is>
          <t>Root</t>
        </is>
      </c>
      <c r="E2" t="inlineStr">
        <is>
          <t>Business use case pending description</t>
        </is>
      </c>
    </row>
    <row r="3">
      <c r="A3" t="inlineStr">
        <is>
          <t>Child A</t>
        </is>
      </c>
      <c r="B3" t="inlineStr">
        <is>
          <t>Child A</t>
        </is>
      </c>
      <c r="C3" t="inlineStr">
        <is>
          <t>Child A</t>
        </is>
      </c>
      <c r="D3" t="inlineStr">
        <is>
          <t>Child A</t>
        </is>
      </c>
      <c r="E3" t="inlineStr">
        <is>
          <t>Business use case pending description</t>
        </is>
      </c>
    </row>
    <row r="4">
      <c r="A4" t="inlineStr">
        <is>
          <t>Child B</t>
        </is>
      </c>
      <c r="B4" t="inlineStr">
        <is>
          <t>Child B</t>
        </is>
      </c>
      <c r="C4" t="inlineStr">
        <is>
          <t>Child B</t>
        </is>
      </c>
      <c r="D4" t="inlineStr">
        <is>
          <t>Child B</t>
        </is>
      </c>
      <c r="E4" t="inlineStr">
        <is>
          <t>Business use case pending description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100</v>
      </c>
      <c r="I2" s="2">
        <f>IF(D2="daily_users",E2*F2*G2,H2)</f>
        <v/>
      </c>
      <c r="J2" s="2">
        <f>C2*I2</f>
        <v/>
      </c>
      <c r="K2" t="inlineStr">
        <is>
          <t>Root</t>
        </is>
      </c>
    </row>
    <row r="3">
      <c r="A3" t="inlineStr">
        <is>
          <t>Child A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1</v>
      </c>
      <c r="G3" s="2" t="n">
        <v>30</v>
      </c>
      <c r="H3" s="2" t="n">
        <v>100</v>
      </c>
      <c r="I3" s="2" t="n">
        <v>105</v>
      </c>
      <c r="J3" s="2">
        <f>C3*I3</f>
        <v/>
      </c>
      <c r="K3" t="inlineStr">
        <is>
          <t>Child A</t>
        </is>
      </c>
      <c r="L3" t="inlineStr">
        <is>
          <t>daily_users</t>
        </is>
      </c>
    </row>
    <row r="4">
      <c r="A4" t="inlineStr">
        <is>
          <t>Child B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1</v>
      </c>
      <c r="G4" s="2" t="n">
        <v>30</v>
      </c>
      <c r="H4" s="2" t="n">
        <v>100</v>
      </c>
      <c r="I4" s="2" t="n">
        <v>45</v>
      </c>
      <c r="J4" s="2">
        <f>C4*I4</f>
        <v/>
      </c>
      <c r="K4" t="inlineStr">
        <is>
          <t>Child B</t>
        </is>
      </c>
      <c r="L4" t="inlineStr">
        <is>
          <t>daily_users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Child A</t>
        </is>
      </c>
      <c r="D2" t="inlineStr">
        <is>
          <t>Delegate</t>
        </is>
      </c>
      <c r="E2" s="2" t="n">
        <v>0.7</v>
      </c>
      <c r="F2" s="2" t="n">
        <v>300</v>
      </c>
      <c r="G2" s="2">
        <f>E2*F2*L2</f>
        <v/>
      </c>
      <c r="H2" t="inlineStr">
        <is>
          <t>Complete</t>
        </is>
      </c>
      <c r="I2" t="inlineStr">
        <is>
          <t>to-a</t>
        </is>
      </c>
      <c r="J2" t="inlineStr">
        <is>
          <t>Root</t>
        </is>
      </c>
      <c r="K2" t="inlineStr">
        <is>
          <t>Child A</t>
        </is>
      </c>
      <c r="L2" s="2" t="n">
        <v>0.5</v>
      </c>
    </row>
    <row r="3">
      <c r="A3" t="inlineStr">
        <is>
          <t>Low</t>
        </is>
      </c>
      <c r="B3" t="inlineStr">
        <is>
          <t>Root</t>
        </is>
      </c>
      <c r="C3" t="inlineStr">
        <is>
          <t>Child B</t>
        </is>
      </c>
      <c r="D3" t="inlineStr">
        <is>
          <t>Delegate</t>
        </is>
      </c>
      <c r="E3" s="2" t="n">
        <v>0.3</v>
      </c>
      <c r="F3" s="2" t="n">
        <v>300</v>
      </c>
      <c r="G3" s="2">
        <f>E3*F3*L3</f>
        <v/>
      </c>
      <c r="H3" t="inlineStr">
        <is>
          <t>Complete</t>
        </is>
      </c>
      <c r="I3" t="inlineStr">
        <is>
          <t>to-b</t>
        </is>
      </c>
      <c r="J3" t="inlineStr">
        <is>
          <t>Root</t>
        </is>
      </c>
      <c r="K3" t="inlineStr">
        <is>
          <t>Child B</t>
        </is>
      </c>
      <c r="L3" s="2" t="n">
        <v>0.5</v>
      </c>
    </row>
    <row r="4">
      <c r="A4" t="inlineStr">
        <is>
          <t>Expected</t>
        </is>
      </c>
      <c r="B4" t="inlineStr">
        <is>
          <t>Root</t>
        </is>
      </c>
      <c r="C4" t="inlineStr">
        <is>
          <t>Child A</t>
        </is>
      </c>
      <c r="D4" t="inlineStr">
        <is>
          <t>Delegate</t>
        </is>
      </c>
      <c r="E4" s="2" t="n">
        <v>0.7</v>
      </c>
      <c r="F4" s="2" t="n">
        <v>300</v>
      </c>
      <c r="G4" s="2">
        <f>E4*F4*L4</f>
        <v/>
      </c>
      <c r="H4" t="inlineStr">
        <is>
          <t>Complete</t>
        </is>
      </c>
      <c r="I4" t="inlineStr">
        <is>
          <t>to-a</t>
        </is>
      </c>
      <c r="J4" t="inlineStr">
        <is>
          <t>Root</t>
        </is>
      </c>
      <c r="K4" t="inlineStr">
        <is>
          <t>Child A</t>
        </is>
      </c>
      <c r="L4" s="2" t="n">
        <v>0.5</v>
      </c>
    </row>
    <row r="5">
      <c r="A5" t="inlineStr">
        <is>
          <t>Expected</t>
        </is>
      </c>
      <c r="B5" t="inlineStr">
        <is>
          <t>Root</t>
        </is>
      </c>
      <c r="C5" t="inlineStr">
        <is>
          <t>Child B</t>
        </is>
      </c>
      <c r="D5" t="inlineStr">
        <is>
          <t>Delegate</t>
        </is>
      </c>
      <c r="E5" s="2" t="n">
        <v>0.3</v>
      </c>
      <c r="F5" s="2" t="n">
        <v>300</v>
      </c>
      <c r="G5" s="2">
        <f>E5*F5*L5</f>
        <v/>
      </c>
      <c r="H5" t="inlineStr">
        <is>
          <t>Complete</t>
        </is>
      </c>
      <c r="I5" t="inlineStr">
        <is>
          <t>to-b</t>
        </is>
      </c>
      <c r="J5" t="inlineStr">
        <is>
          <t>Root</t>
        </is>
      </c>
      <c r="K5" t="inlineStr">
        <is>
          <t>Child B</t>
        </is>
      </c>
      <c r="L5" s="2" t="n">
        <v>0.5</v>
      </c>
    </row>
    <row r="6">
      <c r="A6" t="inlineStr">
        <is>
          <t>High</t>
        </is>
      </c>
      <c r="B6" t="inlineStr">
        <is>
          <t>Root</t>
        </is>
      </c>
      <c r="C6" t="inlineStr">
        <is>
          <t>Child A</t>
        </is>
      </c>
      <c r="D6" t="inlineStr">
        <is>
          <t>Delegate</t>
        </is>
      </c>
      <c r="E6" s="2" t="n">
        <v>0.7</v>
      </c>
      <c r="F6" s="2" t="n">
        <v>300</v>
      </c>
      <c r="G6" s="2">
        <f>E6*F6*L6</f>
        <v/>
      </c>
      <c r="H6" t="inlineStr">
        <is>
          <t>Complete</t>
        </is>
      </c>
      <c r="I6" t="inlineStr">
        <is>
          <t>to-a</t>
        </is>
      </c>
      <c r="J6" t="inlineStr">
        <is>
          <t>Root</t>
        </is>
      </c>
      <c r="K6" t="inlineStr">
        <is>
          <t>Child A</t>
        </is>
      </c>
      <c r="L6" s="2" t="n">
        <v>0.5</v>
      </c>
    </row>
    <row r="7">
      <c r="A7" t="inlineStr">
        <is>
          <t>High</t>
        </is>
      </c>
      <c r="B7" t="inlineStr">
        <is>
          <t>Root</t>
        </is>
      </c>
      <c r="C7" t="inlineStr">
        <is>
          <t>Child B</t>
        </is>
      </c>
      <c r="D7" t="inlineStr">
        <is>
          <t>Delegate</t>
        </is>
      </c>
      <c r="E7" s="2" t="n">
        <v>0.3</v>
      </c>
      <c r="F7" s="2" t="n">
        <v>300</v>
      </c>
      <c r="G7" s="2">
        <f>E7*F7*L7</f>
        <v/>
      </c>
      <c r="H7" t="inlineStr">
        <is>
          <t>Complete</t>
        </is>
      </c>
      <c r="I7" t="inlineStr">
        <is>
          <t>to-b</t>
        </is>
      </c>
      <c r="J7" t="inlineStr">
        <is>
          <t>Root</t>
        </is>
      </c>
      <c r="K7" t="inlineStr">
        <is>
          <t>Child B</t>
        </is>
      </c>
      <c r="L7" s="2" t="n">
        <v>0.5</v>
      </c>
    </row>
  </sheetData>
  <autoFilter ref="A1:L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450</v>
      </c>
      <c r="F2" s="2" t="n">
        <v>0</v>
      </c>
      <c r="G2" s="2" t="n">
        <v>600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450</v>
      </c>
      <c r="F3" s="2" t="n">
        <v>0</v>
      </c>
      <c r="G3" s="2" t="n">
        <v>600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450</v>
      </c>
      <c r="F4" s="2" t="n">
        <v>0</v>
      </c>
      <c r="G4" s="2" t="n">
        <v>600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Root</t>
        </is>
      </c>
      <c r="D2" s="2" t="n">
        <v>300</v>
      </c>
      <c r="E2" s="2" t="n">
        <v>0.0027</v>
      </c>
      <c r="F2" s="2" t="n">
        <v>0</v>
      </c>
      <c r="G2" s="2" t="n">
        <v>0.00435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Child A</t>
        </is>
      </c>
      <c r="C3" t="inlineStr">
        <is>
          <t>Child A</t>
        </is>
      </c>
      <c r="D3" s="2" t="n">
        <v>105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Child B</t>
        </is>
      </c>
      <c r="C4" t="inlineStr">
        <is>
          <t>Child B</t>
        </is>
      </c>
      <c r="D4" s="2" t="n">
        <v>45</v>
      </c>
      <c r="E4" s="2" t="n">
        <v>0.0075</v>
      </c>
      <c r="F4" s="2" t="n">
        <v>0</v>
      </c>
      <c r="G4" s="2" t="n">
        <v>0.0075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Root</t>
        </is>
      </c>
      <c r="C5" t="inlineStr">
        <is>
          <t>Root</t>
        </is>
      </c>
      <c r="D5" s="2" t="n">
        <v>300</v>
      </c>
      <c r="E5" s="2" t="n">
        <v>0.0036</v>
      </c>
      <c r="F5" s="2" t="n">
        <v>0</v>
      </c>
      <c r="G5" s="2" t="n">
        <v>0.0058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Child A</t>
        </is>
      </c>
      <c r="C6" t="inlineStr">
        <is>
          <t>Child A</t>
        </is>
      </c>
      <c r="D6" s="2" t="n">
        <v>105</v>
      </c>
      <c r="E6" s="2" t="n">
        <v>0.002</v>
      </c>
      <c r="F6" s="2" t="n">
        <v>0</v>
      </c>
      <c r="G6" s="2" t="n">
        <v>0.002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Child B</t>
        </is>
      </c>
      <c r="C7" t="inlineStr">
        <is>
          <t>Child B</t>
        </is>
      </c>
      <c r="D7" s="2" t="n">
        <v>45</v>
      </c>
      <c r="E7" s="2" t="n">
        <v>0.01</v>
      </c>
      <c r="F7" s="2" t="n">
        <v>0</v>
      </c>
      <c r="G7" s="2" t="n">
        <v>0.01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Root</t>
        </is>
      </c>
      <c r="C8" t="inlineStr">
        <is>
          <t>Root</t>
        </is>
      </c>
      <c r="D8" s="2" t="n">
        <v>300</v>
      </c>
      <c r="E8" s="2" t="n">
        <v>0.0054</v>
      </c>
      <c r="F8" s="2" t="n">
        <v>0</v>
      </c>
      <c r="G8" s="2" t="n">
        <v>0.008699999999999999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Child A</t>
        </is>
      </c>
      <c r="C9" t="inlineStr">
        <is>
          <t>Child A</t>
        </is>
      </c>
      <c r="D9" s="2" t="n">
        <v>105</v>
      </c>
      <c r="E9" s="2" t="n">
        <v>0.003</v>
      </c>
      <c r="F9" s="2" t="n">
        <v>0</v>
      </c>
      <c r="G9" s="2" t="n">
        <v>0.003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Child B</t>
        </is>
      </c>
      <c r="C10" t="inlineStr">
        <is>
          <t>Child B</t>
        </is>
      </c>
      <c r="D10" s="2" t="n">
        <v>45</v>
      </c>
      <c r="E10" s="2" t="n">
        <v>0.015</v>
      </c>
      <c r="F10" s="2" t="n">
        <v>0</v>
      </c>
      <c r="G10" s="2" t="n">
        <v>0.015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  <row r="5">
      <c r="A5" t="inlineStr">
        <is>
          <t>Research intensive</t>
        </is>
      </c>
      <c r="B5" s="2">
        <f>SUMIF(Volume!B2:B4,A5,Volume!J2:J4)</f>
        <v/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  <row r="5">
      <c r="A5" t="inlineStr">
        <is>
          <t>Research intensive</t>
        </is>
      </c>
      <c r="B5" s="2">
        <f>SUMIFS(Calculations!R2:R13,Calculations!A2:A13,"Expected",Calculations!AF2:AF13,A5)</f>
        <v/>
      </c>
      <c r="C5" s="2">
        <f>SUMIFS(Calculations!S2:S13,Calculations!A2:A13,"Expected",Calculations!AF2:AF13,A5)</f>
        <v/>
      </c>
      <c r="D5" s="2">
        <f>B5+C5</f>
        <v/>
      </c>
      <c r="E5" s="2">
        <f>D5/F5</f>
        <v/>
      </c>
      <c r="F5" s="2" t="n">
        <v>30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  <row r="17">
      <c r="A17" t="inlineStr">
        <is>
          <t>Research intensive</t>
        </is>
      </c>
      <c r="B17" t="inlineStr">
        <is>
          <t>Uncached input</t>
        </is>
      </c>
      <c r="C17" s="2">
        <f>SUMIFS(Calculations!AG2:AG13,Calculations!A2:A13,"Expected",Calculations!AF2:AF13,A17)</f>
        <v/>
      </c>
      <c r="D17" s="2">
        <f>SUMIFS(Calculations!T2:T13,Calculations!A2:A13,"Expected",Calculations!AF2:AF13,A17)</f>
        <v/>
      </c>
      <c r="E17" s="2">
        <f>IF(C17=0,"",D17*1000000/C17)</f>
        <v/>
      </c>
      <c r="F17" t="inlineStr">
        <is>
          <t>Complete</t>
        </is>
      </c>
      <c r="G17" s="2">
        <f>C17/I17</f>
        <v/>
      </c>
      <c r="H17" s="2">
        <f>D17/I17</f>
        <v/>
      </c>
      <c r="I17" s="2" t="n">
        <v>30</v>
      </c>
    </row>
    <row r="18">
      <c r="A18" t="inlineStr">
        <is>
          <t>Research intensive</t>
        </is>
      </c>
      <c r="B18" t="inlineStr">
        <is>
          <t>Cached input read</t>
        </is>
      </c>
      <c r="C18" s="2">
        <f>SUMIFS(Calculations!AH2:AH13,Calculations!A2:A13,"Expected",Calculations!AF2:AF13,A18)</f>
        <v/>
      </c>
      <c r="D18" s="2">
        <f>SUMIFS(Calculations!V2:V13,Calculations!A2:A13,"Expected",Calculations!AF2:AF13,A18)</f>
        <v/>
      </c>
      <c r="E18" s="2">
        <f>IF(C18=0,"",D18*1000000/C18)</f>
        <v/>
      </c>
      <c r="F18" t="inlineStr">
        <is>
          <t>Complete</t>
        </is>
      </c>
      <c r="G18" s="2">
        <f>C18/I18</f>
        <v/>
      </c>
      <c r="H18" s="2">
        <f>D18/I18</f>
        <v/>
      </c>
      <c r="I18" s="2" t="n">
        <v>30</v>
      </c>
    </row>
    <row r="19">
      <c r="A19" t="inlineStr">
        <is>
          <t>Research intensive</t>
        </is>
      </c>
      <c r="B19" t="inlineStr">
        <is>
          <t>Input cache write</t>
        </is>
      </c>
      <c r="C19" s="2">
        <f>SUMIFS(Calculations!AI2:AI13,Calculations!A2:A13,"Expected",Calculations!AF2:AF13,A19)</f>
        <v/>
      </c>
      <c r="D19" s="2">
        <f>SUMIFS(Calculations!W2:W13,Calculations!A2:A13,"Expected",Calculations!AF2:AF13,A19)</f>
        <v/>
      </c>
      <c r="E19" s="2">
        <f>IF(C19=0,"",D19*1000000/C19)</f>
        <v/>
      </c>
      <c r="F19" t="inlineStr">
        <is>
          <t>Complete</t>
        </is>
      </c>
      <c r="G19" s="2">
        <f>C19/I19</f>
        <v/>
      </c>
      <c r="H19" s="2">
        <f>D19/I19</f>
        <v/>
      </c>
      <c r="I19" s="2" t="n">
        <v>30</v>
      </c>
    </row>
    <row r="20">
      <c r="A20" t="inlineStr">
        <is>
          <t>Research intensive</t>
        </is>
      </c>
      <c r="B20" t="inlineStr">
        <is>
          <t>Output incl. reasoning</t>
        </is>
      </c>
      <c r="C20" s="2">
        <f>SUMIFS(Calculations!S2:S13,Calculations!A2:A13,"Expected",Calculations!AF2:AF13,A20)</f>
        <v/>
      </c>
      <c r="D20" s="2">
        <f>SUMIFS(Calculations!U2:U13,Calculations!A2:A13,"Expected",Calculations!AF2:AF13,A20)</f>
        <v/>
      </c>
      <c r="E20" s="2">
        <f>IF(C20=0,"",D20*1000000/C20)</f>
        <v/>
      </c>
      <c r="F20" t="inlineStr">
        <is>
          <t>Complete</t>
        </is>
      </c>
      <c r="G20" s="2">
        <f>C20/I20</f>
        <v/>
      </c>
      <c r="H20" s="2">
        <f>D20/I20</f>
        <v/>
      </c>
      <c r="I20" s="2" t="n">
        <v>30</v>
      </c>
    </row>
    <row r="21">
      <c r="A21" t="inlineStr">
        <is>
          <t>Research intensive</t>
        </is>
      </c>
      <c r="B21" t="inlineStr">
        <is>
          <t>Total</t>
        </is>
      </c>
      <c r="C21" s="2">
        <f>SUM(C17:C20)</f>
        <v/>
      </c>
      <c r="D21" s="2">
        <f>SUM(D17:D20)</f>
        <v/>
      </c>
      <c r="F21" t="inlineStr">
        <is>
          <t>Complete</t>
        </is>
      </c>
      <c r="G21" s="2">
        <f>C21/I21</f>
        <v/>
      </c>
      <c r="H21" s="2">
        <f>D21/I21</f>
        <v/>
      </c>
      <c r="I21" s="2" t="n">
        <v>30</v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Research intensive</t>
        </is>
      </c>
      <c r="B5" s="2">
        <f>'Category usage'!B5</f>
        <v/>
      </c>
      <c r="C5" s="2">
        <f>SUM('Category costs'!D17:D19)</f>
        <v/>
      </c>
      <c r="D5" s="2">
        <f>'Category usage'!C5</f>
        <v/>
      </c>
      <c r="E5" s="2">
        <f>'Category costs'!D20</f>
        <v/>
      </c>
      <c r="F5" s="2">
        <f>B5+D5</f>
        <v/>
      </c>
      <c r="G5" s="2">
        <f>C5+E5</f>
        <v/>
      </c>
      <c r="H5" t="inlineStr">
        <is>
          <t>Complete</t>
        </is>
      </c>
    </row>
    <row r="6">
      <c r="A6" t="inlineStr">
        <is>
          <t>Suite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B6+D6</f>
        <v/>
      </c>
      <c r="G6" s="2">
        <f>C6+E6</f>
        <v/>
      </c>
      <c r="H6" t="inlineStr">
        <is>
          <t>Complete</t>
        </is>
      </c>
    </row>
  </sheetData>
  <autoFilter ref="A1:H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Research intensive</t>
        </is>
      </c>
      <c r="B5" t="inlineStr">
        <is>
          <t>2</t>
        </is>
      </c>
      <c r="C5" t="inlineStr">
        <is>
          <t>1000</t>
        </is>
      </c>
      <c r="D5" t="inlineStr">
        <is>
          <t>500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Fixed step-actions v1 fixture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B</t>
        </is>
      </c>
      <c r="B3" t="inlineStr">
        <is>
          <t>Synthetic fixture</t>
        </is>
      </c>
      <c r="C3" s="2" t="n">
        <v>10</v>
      </c>
      <c r="D3" s="2" t="n">
        <v>0</v>
      </c>
      <c r="G3" t="inlineStr">
        <is>
          <t>Fixed step-actions v1 fixture</t>
        </is>
      </c>
      <c r="H3" t="inlineStr">
        <is>
          <t>2026-10-05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Exclusive step acceptance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2026-10-05T16:44:03Z</dcterms:created>
  <dcterms:modified xsi:type="dcterms:W3CDTF">2026-10-05T16:44:03Z</dcterms:modified>
</cp:coreProperties>
</file>