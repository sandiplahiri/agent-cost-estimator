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Agent identities" sheetId="4" state="visible" r:id="rId4"/>
    <sheet name="Volume" sheetId="5" state="visible" r:id="rId5"/>
    <sheet name="Agent links" sheetId="6" state="visible" r:id="rId6"/>
    <sheet name="Tool costs" sheetId="7" state="visible" r:id="rId7"/>
    <sheet name="Harness" sheetId="8" state="visible" r:id="rId8"/>
    <sheet name="Use cases" sheetId="9" state="visible" r:id="rId9"/>
    <sheet name="Category totals" sheetId="10" state="visible" r:id="rId10"/>
    <sheet name="Category usage" sheetId="11" state="visible" r:id="rId11"/>
    <sheet name="Category costs" sheetId="12" state="visible" r:id="rId12"/>
    <sheet name="Monthly scenario summary" sheetId="13" state="visible" r:id="rId13"/>
    <sheet name="Monthly category summary" sheetId="14" state="visible" r:id="rId14"/>
    <sheet name="Profiles" sheetId="15" state="visible" r:id="rId15"/>
    <sheet name="Scenarios" sheetId="16" state="visible" r:id="rId16"/>
    <sheet name="Additional costs" sheetId="17" state="visible" r:id="rId17"/>
    <sheet name="Pricing" sheetId="18" state="visible" r:id="rId18"/>
    <sheet name="Read me" sheetId="19" state="visible" r:id="rId19"/>
  </sheets>
  <definedNames>
    <definedName name="_xlnm._FilterDatabase" localSheetId="0" hidden="1">'Summary'!$A$1:$J$4</definedName>
    <definedName name="_xlnm._FilterDatabase" localSheetId="1" hidden="1">'Calculations'!$A$1:$AM$4</definedName>
    <definedName name="_xlnm._FilterDatabase" localSheetId="2" hidden="1">'Agents'!$A$1:$P$2</definedName>
    <definedName name="_xlnm._FilterDatabase" localSheetId="3" hidden="1">'Agent identities'!$A$1:$E$3</definedName>
    <definedName name="_xlnm._FilterDatabase" localSheetId="4" hidden="1">'Volume'!$A$1:$L$2</definedName>
    <definedName name="_xlnm._FilterDatabase" localSheetId="5" hidden="1">'Agent links'!$A$1:$M$1</definedName>
    <definedName name="_xlnm._FilterDatabase" localSheetId="6" hidden="1">'Tool costs'!$A$1:$J$4</definedName>
    <definedName name="_xlnm._FilterDatabase" localSheetId="7" hidden="1">'Harness'!$A$1:$K$4</definedName>
    <definedName name="_xlnm._FilterDatabase" localSheetId="8" hidden="1">'Use cases'!$A$1:$I$4</definedName>
    <definedName name="_xlnm._FilterDatabase" localSheetId="9" hidden="1">'Category totals'!$A$1:$B$4</definedName>
    <definedName name="_xlnm._FilterDatabase" localSheetId="10" hidden="1">'Category usage'!$A$1:$F$4</definedName>
    <definedName name="_xlnm._FilterDatabase" localSheetId="11" hidden="1">'Category costs'!$A$1:$I$16</definedName>
    <definedName name="_xlnm._FilterDatabase" localSheetId="12" hidden="1">'Monthly scenario summary'!$A$1:$K$4</definedName>
    <definedName name="_xlnm._FilterDatabase" localSheetId="13" hidden="1">'Monthly category summary'!$A$1:$H$5</definedName>
    <definedName name="_xlnm._FilterDatabase" localSheetId="14" hidden="1">'Profiles'!$A$1:$G$4</definedName>
    <definedName name="_xlnm._FilterDatabase" localSheetId="15" hidden="1">'Scenarios'!$A$1:$G$4</definedName>
    <definedName name="_xlnm._FilterDatabase" localSheetId="16" hidden="1">'Additional costs'!$A$1:$E$3</definedName>
    <definedName name="_xlnm._FilterDatabase" localSheetId="17" hidden="1">'Pricing'!$A$1:$R$2</definedName>
    <definedName name="_xlnm._FilterDatabase" localSheetId="18" hidden="1">'Read me'!$A$1:$B$19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  <col width="19" customWidth="1" min="9" max="9"/>
    <col width="22" customWidth="1" min="10" max="10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  <c r="I1" s="1" t="inlineStr">
        <is>
          <t>Tool monthly USD</t>
        </is>
      </c>
      <c r="J1" s="1" t="inlineStr">
        <is>
          <t>Harness monthly USD</t>
        </is>
      </c>
    </row>
    <row r="2">
      <c r="A2" t="inlineStr">
        <is>
          <t>Low</t>
        </is>
      </c>
      <c r="B2" s="2">
        <f>SUM(Calculations!X2:X2)</f>
        <v/>
      </c>
      <c r="C2" s="2" t="n">
        <v>5</v>
      </c>
      <c r="D2" s="2">
        <f>B2+C2+I2+J2</f>
        <v/>
      </c>
      <c r="E2" s="2" t="n">
        <v>100</v>
      </c>
      <c r="F2" s="2">
        <f>D2+E2</f>
        <v/>
      </c>
      <c r="G2" s="2">
        <f>D2*12+E2</f>
        <v/>
      </c>
      <c r="H2" t="inlineStr">
        <is>
          <t>Complete</t>
        </is>
      </c>
      <c r="I2" s="2">
        <f>SUMIF('Tool costs'!A2:A2,A2,'Tool costs'!I2:I2)</f>
        <v/>
      </c>
      <c r="J2" s="2">
        <f>Harness!I2</f>
        <v/>
      </c>
    </row>
    <row r="3">
      <c r="A3" t="inlineStr">
        <is>
          <t>Expected</t>
        </is>
      </c>
      <c r="B3" s="2">
        <f>SUM(Calculations!X3:X3)</f>
        <v/>
      </c>
      <c r="C3" s="2" t="n">
        <v>5</v>
      </c>
      <c r="D3" s="2">
        <f>B3+C3+I3+J3</f>
        <v/>
      </c>
      <c r="E3" s="2" t="n">
        <v>100</v>
      </c>
      <c r="F3" s="2">
        <f>D3+E3</f>
        <v/>
      </c>
      <c r="G3" s="2">
        <f>D3*12+E3</f>
        <v/>
      </c>
      <c r="H3" t="inlineStr">
        <is>
          <t>Complete</t>
        </is>
      </c>
      <c r="I3" s="2">
        <f>SUMIF('Tool costs'!A2:A3,A3,'Tool costs'!I2:I3)</f>
        <v/>
      </c>
      <c r="J3" s="2">
        <f>Harness!I3</f>
        <v/>
      </c>
    </row>
    <row r="4">
      <c r="A4" t="inlineStr">
        <is>
          <t>High</t>
        </is>
      </c>
      <c r="B4" s="2">
        <f>SUM(Calculations!X4:X4)</f>
        <v/>
      </c>
      <c r="C4" s="2" t="n">
        <v>5</v>
      </c>
      <c r="D4" s="2">
        <f>B4+C4+I4+J4</f>
        <v/>
      </c>
      <c r="E4" s="2" t="n">
        <v>100</v>
      </c>
      <c r="F4" s="2">
        <f>D4+E4</f>
        <v/>
      </c>
      <c r="G4" s="2">
        <f>D4*12+E4</f>
        <v/>
      </c>
      <c r="H4" t="inlineStr">
        <is>
          <t>Complete</t>
        </is>
      </c>
      <c r="I4" s="2">
        <f>SUMIF('Tool costs'!A2:A4,A4,'Tool costs'!I2:I4)</f>
        <v/>
      </c>
      <c r="J4" s="2">
        <f>Harness!I4</f>
        <v/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  <col width="38" customWidth="1" min="36" max="36"/>
    <col width="27" customWidth="1" min="37" max="37"/>
    <col width="16" customWidth="1" min="38" max="38"/>
    <col width="16" customWidth="1" min="39" max="39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  <c r="AJ1" s="1" t="inlineStr">
        <is>
          <t>Raw calls/occurrence after scenario</t>
        </is>
      </c>
      <c r="AK1" s="1" t="inlineStr">
        <is>
          <t>Step x model probability</t>
        </is>
      </c>
      <c r="AL1" s="1" t="inlineStr">
        <is>
          <t>Step ID</t>
        </is>
      </c>
      <c r="AM1" s="1" t="inlineStr">
        <is>
          <t>Model role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Aggregate</t>
        </is>
      </c>
      <c r="D2" t="inlineStr">
        <is>
          <t>Fixture model</t>
        </is>
      </c>
      <c r="E2" s="2" t="n">
        <v>2</v>
      </c>
      <c r="F2" s="2">
        <f>IF(Z2="daily_users",AA2*AB2*AC2,AD2)*AE2</f>
        <v/>
      </c>
      <c r="G2" s="2">
        <f>AJ2*AK2</f>
        <v/>
      </c>
      <c r="H2" s="2" t="n">
        <v>0</v>
      </c>
      <c r="I2" s="2" t="n">
        <v>750</v>
      </c>
      <c r="J2" s="2" t="n">
        <v>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</v>
      </c>
      <c r="AB2" s="2" t="n">
        <v>1</v>
      </c>
      <c r="AC2" s="2" t="n">
        <v>30</v>
      </c>
      <c r="AD2" s="2" t="n">
        <v>0</v>
      </c>
      <c r="AE2" s="2" t="n">
        <v>0.5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  <c r="AJ2" s="2" t="n">
        <v>1</v>
      </c>
      <c r="AK2" s="2" t="n">
        <v>1</v>
      </c>
      <c r="AM2" t="inlineStr"/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Aggregate</t>
        </is>
      </c>
      <c r="D3" t="inlineStr">
        <is>
          <t>Fixture model</t>
        </is>
      </c>
      <c r="E3" s="2" t="n">
        <v>2</v>
      </c>
      <c r="F3" s="2">
        <f>IF(Z3="daily_users",AA3*AB3*AC3,AD3)*AE3</f>
        <v/>
      </c>
      <c r="G3" s="2">
        <f>AJ3*AK3</f>
        <v/>
      </c>
      <c r="H3" s="2" t="n">
        <v>0</v>
      </c>
      <c r="I3" s="2" t="n">
        <v>1000</v>
      </c>
      <c r="J3" s="2" t="n">
        <v>100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daily_users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  <c r="AJ3" s="2" t="n">
        <v>1</v>
      </c>
      <c r="AK3" s="2" t="n">
        <v>1</v>
      </c>
      <c r="AM3" t="inlineStr"/>
    </row>
    <row r="4">
      <c r="A4" t="inlineStr">
        <is>
          <t>High</t>
        </is>
      </c>
      <c r="B4" t="inlineStr">
        <is>
          <t>Paired agents</t>
        </is>
      </c>
      <c r="C4" t="inlineStr">
        <is>
          <t>Aggregate</t>
        </is>
      </c>
      <c r="D4" t="inlineStr">
        <is>
          <t>Fixture model</t>
        </is>
      </c>
      <c r="E4" s="2" t="n">
        <v>2</v>
      </c>
      <c r="F4" s="2">
        <f>IF(Z4="daily_users",AA4*AB4*AC4,AD4)*AE4</f>
        <v/>
      </c>
      <c r="G4" s="2">
        <f>AJ4*AK4</f>
        <v/>
      </c>
      <c r="H4" s="2" t="n">
        <v>0</v>
      </c>
      <c r="I4" s="2" t="n">
        <v>1500</v>
      </c>
      <c r="J4" s="2" t="n">
        <v>150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daily_users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2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  <c r="AJ4" s="2" t="n">
        <v>1</v>
      </c>
      <c r="AK4" s="2" t="n">
        <v>1</v>
      </c>
      <c r="AM4" t="inlineStr"/>
    </row>
  </sheetData>
  <autoFilter ref="A1:AM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  <col width="16" customWidth="1" min="15" max="15"/>
    <col width="32" customWidth="1" min="16" max="16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  <c r="O1" s="1" t="inlineStr">
        <is>
          <t>agent_id</t>
        </is>
      </c>
      <c r="P1" s="1" t="inlineStr">
        <is>
          <t>business_use_case_description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s="2" t="n">
        <v>0</v>
      </c>
      <c r="E2" t="inlineStr">
        <is>
          <t>Fixture model</t>
        </is>
      </c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</v>
      </c>
      <c r="N2" s="2" t="n">
        <v>1</v>
      </c>
      <c r="O2" t="inlineStr"/>
      <c r="P2" t="inlineStr"/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2" customWidth="1" min="5" max="5"/>
  </cols>
  <sheetData>
    <row r="1" ht="32" customHeight="1">
      <c r="A1" s="1" t="inlineStr">
        <is>
          <t>Group ID</t>
        </is>
      </c>
      <c r="B1" s="1" t="inlineStr">
        <is>
          <t>Group name</t>
        </is>
      </c>
      <c r="C1" s="1" t="inlineStr">
        <is>
          <t>Agent ID</t>
        </is>
      </c>
      <c r="D1" s="1" t="inlineStr">
        <is>
          <t>Agent name</t>
        </is>
      </c>
      <c r="E1" s="1" t="inlineStr">
        <is>
          <t>Business use case description</t>
        </is>
      </c>
    </row>
    <row r="2">
      <c r="A2" t="inlineStr">
        <is>
          <t>paired</t>
        </is>
      </c>
      <c r="B2" t="inlineStr">
        <is>
          <t>Paired agents</t>
        </is>
      </c>
      <c r="C2" t="inlineStr">
        <is>
          <t>paired-a</t>
        </is>
      </c>
      <c r="D2" t="inlineStr">
        <is>
          <t>Agent A</t>
        </is>
      </c>
      <c r="E2" t="inlineStr">
        <is>
          <t>First customer segment</t>
        </is>
      </c>
    </row>
    <row r="3">
      <c r="A3" t="inlineStr">
        <is>
          <t>paired</t>
        </is>
      </c>
      <c r="B3" t="inlineStr">
        <is>
          <t>Paired agents</t>
        </is>
      </c>
      <c r="C3" t="inlineStr">
        <is>
          <t>paired-b</t>
        </is>
      </c>
      <c r="D3" t="inlineStr">
        <is>
          <t>Agent B</t>
        </is>
      </c>
      <c r="E3" t="inlineStr">
        <is>
          <t>Second customer segment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Paired agents</t>
        </is>
      </c>
      <c r="B2" t="inlineStr">
        <is>
          <t>simple</t>
        </is>
      </c>
      <c r="C2" s="2" t="n">
        <v>2</v>
      </c>
      <c r="D2" t="inlineStr">
        <is>
          <t>daily_users</t>
        </is>
      </c>
      <c r="E2" s="2" t="n">
        <v>1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paired</t>
        </is>
      </c>
    </row>
  </sheetData>
  <autoFilter ref="A1:L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  <col width="29" customWidth="1" min="13" max="13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  <c r="M1" s="1" t="inlineStr">
        <is>
          <t>Step execution probability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9" customWidth="1" min="5" max="5"/>
    <col width="19" customWidth="1" min="6" max="6"/>
    <col width="19" customWidth="1" min="7" max="7"/>
    <col width="16" customWidth="1" min="8" max="8"/>
    <col width="16" customWidth="1" min="9" max="9"/>
    <col width="16" customWidth="1" min="10" max="10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Tool</t>
        </is>
      </c>
      <c r="D1" s="1" t="inlineStr">
        <is>
          <t>Monthly invocations</t>
        </is>
      </c>
      <c r="E1" s="1" t="inlineStr">
        <is>
          <t>Step probability</t>
        </is>
      </c>
      <c r="F1" s="1" t="inlineStr">
        <is>
          <t>Tool probability</t>
        </is>
      </c>
      <c r="G1" s="1" t="inlineStr">
        <is>
          <t>Units/invocation</t>
        </is>
      </c>
      <c r="H1" s="1" t="inlineStr">
        <is>
          <t>USD/unit</t>
        </is>
      </c>
      <c r="I1" s="1" t="inlineStr">
        <is>
          <t>Monthly USD</t>
        </is>
      </c>
      <c r="J1" s="1" t="inlineStr">
        <is>
          <t>Step ID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External lookup</t>
        </is>
      </c>
      <c r="D2" s="2" t="n">
        <v>30</v>
      </c>
      <c r="E2" s="2" t="n">
        <v>1</v>
      </c>
      <c r="F2" s="2" t="n">
        <v>1</v>
      </c>
      <c r="G2" s="2" t="n">
        <v>1</v>
      </c>
      <c r="H2" s="2" t="n">
        <v>0.5</v>
      </c>
      <c r="I2" s="2">
        <f>D2*E2*F2*G2*H2</f>
        <v/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External lookup</t>
        </is>
      </c>
      <c r="D3" s="2" t="n">
        <v>60</v>
      </c>
      <c r="E3" s="2" t="n">
        <v>1</v>
      </c>
      <c r="F3" s="2" t="n">
        <v>1</v>
      </c>
      <c r="G3" s="2" t="n">
        <v>1</v>
      </c>
      <c r="H3" s="2" t="n">
        <v>0.5</v>
      </c>
      <c r="I3" s="2">
        <f>D3*E3*F3*G3*H3</f>
        <v/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External lookup</t>
        </is>
      </c>
      <c r="D4" s="2" t="n">
        <v>120</v>
      </c>
      <c r="E4" s="2" t="n">
        <v>1</v>
      </c>
      <c r="F4" s="2" t="n">
        <v>1</v>
      </c>
      <c r="G4" s="2" t="n">
        <v>1</v>
      </c>
      <c r="H4" s="2" t="n">
        <v>0.5</v>
      </c>
      <c r="I4" s="2">
        <f>D4*E4*F4*G4*H4</f>
        <v/>
      </c>
    </row>
  </sheetData>
  <autoFilter ref="A1:J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0" customWidth="1" min="5" max="5"/>
    <col width="17" customWidth="1" min="6" max="6"/>
    <col width="24" customWidth="1" min="7" max="7"/>
    <col width="16" customWidth="1" min="8" max="8"/>
    <col width="16" customWidth="1" min="9" max="9"/>
    <col width="16" customWidth="1" min="10" max="10"/>
    <col width="27" customWidth="1" min="11" max="11"/>
  </cols>
  <sheetData>
    <row r="1" ht="32" customHeight="1">
      <c r="A1" s="1" t="inlineStr">
        <is>
          <t>Scenario</t>
        </is>
      </c>
      <c r="B1" s="1" t="inlineStr">
        <is>
          <t>Harness type</t>
        </is>
      </c>
      <c r="C1" s="1" t="inlineStr">
        <is>
          <t>Name</t>
        </is>
      </c>
      <c r="D1" s="1" t="inlineStr">
        <is>
          <t>Fixed USD/month</t>
        </is>
      </c>
      <c r="E1" s="1" t="inlineStr">
        <is>
          <t>Invocations/month</t>
        </is>
      </c>
      <c r="F1" s="1" t="inlineStr">
        <is>
          <t>USD/invocation</t>
        </is>
      </c>
      <c r="G1" s="1" t="inlineStr">
        <is>
          <t>Step executions/month</t>
        </is>
      </c>
      <c r="H1" s="1" t="inlineStr">
        <is>
          <t>USD/step</t>
        </is>
      </c>
      <c r="I1" s="1" t="inlineStr">
        <is>
          <t>Monthly USD</t>
        </is>
      </c>
      <c r="J1" s="1" t="inlineStr">
        <is>
          <t>Allocation</t>
        </is>
      </c>
      <c r="K1" s="1" t="inlineStr">
        <is>
          <t>Include in use-case cost</t>
        </is>
      </c>
    </row>
    <row r="2">
      <c r="A2" t="inlineStr">
        <is>
          <t>Low</t>
        </is>
      </c>
      <c r="B2" t="inlineStr">
        <is>
          <t>managed_platform</t>
        </is>
      </c>
      <c r="C2" t="inlineStr">
        <is>
          <t>Agent harness</t>
        </is>
      </c>
      <c r="D2" s="2" t="n">
        <v>6</v>
      </c>
      <c r="E2" s="2" t="n">
        <v>30</v>
      </c>
      <c r="F2" s="2" t="n">
        <v>0.1</v>
      </c>
      <c r="G2" s="2" t="n">
        <v>0</v>
      </c>
      <c r="H2" s="2" t="n">
        <v>0</v>
      </c>
      <c r="I2" s="2">
        <f>IF(B2="none",0,D2+E2*F2+G2*H2)</f>
        <v/>
      </c>
      <c r="J2" t="inlineStr">
        <is>
          <t>by_invocations</t>
        </is>
      </c>
      <c r="K2" s="2" t="b">
        <v>1</v>
      </c>
    </row>
    <row r="3">
      <c r="A3" t="inlineStr">
        <is>
          <t>Expected</t>
        </is>
      </c>
      <c r="B3" t="inlineStr">
        <is>
          <t>managed_platform</t>
        </is>
      </c>
      <c r="C3" t="inlineStr">
        <is>
          <t>Agent harness</t>
        </is>
      </c>
      <c r="D3" s="2" t="n">
        <v>6</v>
      </c>
      <c r="E3" s="2" t="n">
        <v>60</v>
      </c>
      <c r="F3" s="2" t="n">
        <v>0.1</v>
      </c>
      <c r="G3" s="2" t="n">
        <v>0</v>
      </c>
      <c r="H3" s="2" t="n">
        <v>0</v>
      </c>
      <c r="I3" s="2">
        <f>IF(B3="none",0,D3+E3*F3+G3*H3)</f>
        <v/>
      </c>
      <c r="J3" t="inlineStr">
        <is>
          <t>by_invocations</t>
        </is>
      </c>
      <c r="K3" s="2" t="b">
        <v>1</v>
      </c>
    </row>
    <row r="4">
      <c r="A4" t="inlineStr">
        <is>
          <t>High</t>
        </is>
      </c>
      <c r="B4" t="inlineStr">
        <is>
          <t>managed_platform</t>
        </is>
      </c>
      <c r="C4" t="inlineStr">
        <is>
          <t>Agent harness</t>
        </is>
      </c>
      <c r="D4" s="2" t="n">
        <v>6</v>
      </c>
      <c r="E4" s="2" t="n">
        <v>120</v>
      </c>
      <c r="F4" s="2" t="n">
        <v>0.1</v>
      </c>
      <c r="G4" s="2" t="n">
        <v>0</v>
      </c>
      <c r="H4" s="2" t="n">
        <v>0</v>
      </c>
      <c r="I4" s="2">
        <f>IF(B4="none",0,D4+E4*F4+G4*H4)</f>
        <v/>
      </c>
      <c r="J4" t="inlineStr">
        <is>
          <t>by_invocations</t>
        </is>
      </c>
      <c r="K4" s="2" t="b">
        <v>1</v>
      </c>
    </row>
  </sheetData>
  <autoFilter ref="A1:K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24" customWidth="1" min="5" max="5"/>
    <col width="25" customWidth="1" min="6" max="6"/>
    <col width="24" customWidth="1" min="7" max="7"/>
    <col width="16" customWidth="1" min="8" max="8"/>
    <col width="19" customWidth="1" min="9" max="9"/>
  </cols>
  <sheetData>
    <row r="1" ht="32" customHeight="1">
      <c r="A1" s="1" t="inlineStr">
        <is>
          <t>Scenario</t>
        </is>
      </c>
      <c r="B1" s="1" t="inlineStr">
        <is>
          <t>Agent</t>
        </is>
      </c>
      <c r="C1" s="1" t="inlineStr">
        <is>
          <t>Use case</t>
        </is>
      </c>
      <c r="D1" s="1" t="inlineStr">
        <is>
          <t>Monthly completions</t>
        </is>
      </c>
      <c r="E1" s="1" t="inlineStr">
        <is>
          <t>Direct USD/completion</t>
        </is>
      </c>
      <c r="F1" s="1" t="inlineStr">
        <is>
          <t>Harness USD/completion</t>
        </is>
      </c>
      <c r="G1" s="1" t="inlineStr">
        <is>
          <t>Loaded USD/completion</t>
        </is>
      </c>
      <c r="H1" s="1" t="inlineStr">
        <is>
          <t>Status</t>
        </is>
      </c>
      <c r="I1" s="1" t="inlineStr">
        <is>
          <t>Calculation path</t>
        </is>
      </c>
    </row>
    <row r="2">
      <c r="A2" t="inlineStr">
        <is>
          <t>Low</t>
        </is>
      </c>
      <c r="B2" t="inlineStr">
        <is>
          <t>Paired agents</t>
        </is>
      </c>
      <c r="C2" t="inlineStr">
        <is>
          <t>Resolve customer request</t>
        </is>
      </c>
      <c r="D2" s="2" t="n">
        <v>30</v>
      </c>
      <c r="E2" s="2" t="n">
        <v>0.5021</v>
      </c>
      <c r="F2" s="2" t="n">
        <v>0.3</v>
      </c>
      <c r="G2" s="2" t="n">
        <v>0.8021</v>
      </c>
      <c r="H2" t="inlineStr">
        <is>
          <t>Complete</t>
        </is>
      </c>
      <c r="I2" t="inlineStr">
        <is>
          <t>Precomputed DAG rollup; inputs and direct calculations in other sheets</t>
        </is>
      </c>
    </row>
    <row r="3">
      <c r="A3" t="inlineStr">
        <is>
          <t>Expected</t>
        </is>
      </c>
      <c r="B3" t="inlineStr">
        <is>
          <t>Paired agents</t>
        </is>
      </c>
      <c r="C3" t="inlineStr">
        <is>
          <t>Resolve customer request</t>
        </is>
      </c>
      <c r="D3" s="2" t="n">
        <v>60</v>
      </c>
      <c r="E3" s="2" t="n">
        <v>0.5028</v>
      </c>
      <c r="F3" s="2" t="n">
        <v>0.2</v>
      </c>
      <c r="G3" s="2" t="n">
        <v>0.7028</v>
      </c>
      <c r="H3" t="inlineStr">
        <is>
          <t>Complete</t>
        </is>
      </c>
      <c r="I3" t="inlineStr">
        <is>
          <t>Precomputed DAG rollup; inputs and direct calculations in other sheets</t>
        </is>
      </c>
    </row>
    <row r="4">
      <c r="A4" t="inlineStr">
        <is>
          <t>High</t>
        </is>
      </c>
      <c r="B4" t="inlineStr">
        <is>
          <t>Paired agents</t>
        </is>
      </c>
      <c r="C4" t="inlineStr">
        <is>
          <t>Resolve customer request</t>
        </is>
      </c>
      <c r="D4" s="2" t="n">
        <v>120</v>
      </c>
      <c r="E4" s="2" t="n">
        <v>0.5042</v>
      </c>
      <c r="F4" s="2" t="n">
        <v>0.15</v>
      </c>
      <c r="G4" s="2" t="n">
        <v>0.6542</v>
      </c>
      <c r="H4" t="inlineStr">
        <is>
          <t>Complete</t>
        </is>
      </c>
      <c r="I4" t="inlineStr">
        <is>
          <t>Precomputed DAG rollup; inputs and direct calculations in other sheets</t>
        </is>
      </c>
    </row>
  </sheetData>
  <autoFilter ref="A1:I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SUMIF(Volume!B2:B2,A2,Volume!J2:J2)</f>
        <v/>
      </c>
    </row>
    <row r="3">
      <c r="A3" t="inlineStr">
        <is>
          <t>medium</t>
        </is>
      </c>
      <c r="B3" s="2">
        <f>SUMIF(Volume!B2:B2,A3,Volume!J2:J2)</f>
        <v/>
      </c>
    </row>
    <row r="4">
      <c r="A4" t="inlineStr">
        <is>
          <t>high</t>
        </is>
      </c>
      <c r="B4" s="2">
        <f>SUMIF(Volume!B2:B2,A4,Volume!J2:J2)</f>
        <v/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SUMIFS(Calculations!R2:R4,Calculations!A2:A4,"Expected",Calculations!AF2:AF4,A2)</f>
        <v/>
      </c>
      <c r="C2" s="2">
        <f>SUMIFS(Calculations!S2:S4,Calculations!A2:A4,"Expected",Calculations!AF2:AF4,A2)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SUMIFS(Calculations!R2:R4,Calculations!A2:A4,"Expected",Calculations!AF2:AF4,A3)</f>
        <v/>
      </c>
      <c r="C3" s="2">
        <f>SUMIFS(Calculations!S2:S4,Calculations!A2:A4,"Expected",Calculations!AF2:AF4,A3)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SUMIFS(Calculations!R2:R4,Calculations!A2:A4,"Expected",Calculations!AF2:AF4,A4)</f>
        <v/>
      </c>
      <c r="C4" s="2">
        <f>SUMIFS(Calculations!S2:S4,Calculations!A2:A4,"Expected",Calculations!AF2:AF4,A4)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SUMIFS(Calculations!AG2:AG4,Calculations!A2:A4,"Expected",Calculations!AF2:AF4,A2)</f>
        <v/>
      </c>
      <c r="D2" s="2">
        <f>SUMIFS(Calculations!T2:T4,Calculations!A2:A4,"Expected",Calculations!AF2:AF4,A2)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SUMIFS(Calculations!AH2:AH4,Calculations!A2:A4,"Expected",Calculations!AF2:AF4,A3)</f>
        <v/>
      </c>
      <c r="D3" s="2">
        <f>SUMIFS(Calculations!V2:V4,Calculations!A2:A4,"Expected",Calculations!AF2:AF4,A3)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SUMIFS(Calculations!AI2:AI4,Calculations!A2:A4,"Expected",Calculations!AF2:AF4,A4)</f>
        <v/>
      </c>
      <c r="D4" s="2">
        <f>SUMIFS(Calculations!W2:W4,Calculations!A2:A4,"Expected",Calculations!AF2:AF4,A4)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SUMIFS(Calculations!S2:S4,Calculations!A2:A4,"Expected",Calculations!AF2:AF4,A5)</f>
        <v/>
      </c>
      <c r="D5" s="2">
        <f>SUMIFS(Calculations!U2:U4,Calculations!A2:A4,"Expected",Calculations!AF2:AF4,A5)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SUMIFS(Calculations!AG2:AG4,Calculations!A2:A4,"Expected",Calculations!AF2:AF4,A7)</f>
        <v/>
      </c>
      <c r="D7" s="2">
        <f>SUMIFS(Calculations!T2:T4,Calculations!A2:A4,"Expected",Calculations!AF2:AF4,A7)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SUMIFS(Calculations!AH2:AH4,Calculations!A2:A4,"Expected",Calculations!AF2:AF4,A8)</f>
        <v/>
      </c>
      <c r="D8" s="2">
        <f>SUMIFS(Calculations!V2:V4,Calculations!A2:A4,"Expected",Calculations!AF2:AF4,A8)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SUMIFS(Calculations!AI2:AI4,Calculations!A2:A4,"Expected",Calculations!AF2:AF4,A9)</f>
        <v/>
      </c>
      <c r="D9" s="2">
        <f>SUMIFS(Calculations!W2:W4,Calculations!A2:A4,"Expected",Calculations!AF2:AF4,A9)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SUMIFS(Calculations!S2:S4,Calculations!A2:A4,"Expected",Calculations!AF2:AF4,A10)</f>
        <v/>
      </c>
      <c r="D10" s="2">
        <f>SUMIFS(Calculations!U2:U4,Calculations!A2:A4,"Expected",Calculations!AF2:AF4,A10)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SUMIFS(Calculations!AG2:AG4,Calculations!A2:A4,"Expected",Calculations!AF2:AF4,A12)</f>
        <v/>
      </c>
      <c r="D12" s="2">
        <f>SUMIFS(Calculations!T2:T4,Calculations!A2:A4,"Expected",Calculations!AF2:AF4,A12)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SUMIFS(Calculations!AH2:AH4,Calculations!A2:A4,"Expected",Calculations!AF2:AF4,A13)</f>
        <v/>
      </c>
      <c r="D13" s="2">
        <f>SUMIFS(Calculations!V2:V4,Calculations!A2:A4,"Expected",Calculations!AF2:AF4,A13)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SUMIFS(Calculations!AI2:AI4,Calculations!A2:A4,"Expected",Calculations!AF2:AF4,A14)</f>
        <v/>
      </c>
      <c r="D14" s="2">
        <f>SUMIFS(Calculations!W2:W4,Calculations!A2:A4,"Expected",Calculations!AF2:AF4,A14)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SUMIFS(Calculations!S2:S4,Calculations!A2:A4,"Expected",Calculations!AF2:AF4,A15)</f>
        <v/>
      </c>
      <c r="D15" s="2">
        <f>SUMIFS(Calculations!U2:U4,Calculations!A2:A4,"Expected",Calculations!AF2:AF4,A15)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22" customWidth="1" min="4" max="4"/>
    <col width="24" customWidth="1" min="5" max="5"/>
    <col width="21" customWidth="1" min="6" max="6"/>
    <col width="29" customWidth="1" min="7" max="7"/>
    <col width="25" customWidth="1" min="8" max="8"/>
    <col width="24" customWidth="1" min="9" max="9"/>
    <col width="23" customWidth="1" min="10" max="10"/>
    <col width="16" customWidth="1" min="11" max="11"/>
  </cols>
  <sheetData>
    <row r="1" ht="32" customHeight="1">
      <c r="A1" s="1" t="inlineStr">
        <is>
          <t>Scenario</t>
        </is>
      </c>
      <c r="B1" s="1" t="inlineStr">
        <is>
          <t>Input tokens/month</t>
        </is>
      </c>
      <c r="C1" s="1" t="inlineStr">
        <is>
          <t>Input cost USD/month</t>
        </is>
      </c>
      <c r="D1" s="1" t="inlineStr">
        <is>
          <t>Output tokens/month</t>
        </is>
      </c>
      <c r="E1" s="1" t="inlineStr">
        <is>
          <t>Output cost USD/month</t>
        </is>
      </c>
      <c r="F1" s="1" t="inlineStr">
        <is>
          <t>Total tokens/month</t>
        </is>
      </c>
      <c r="G1" s="1" t="inlineStr">
        <is>
          <t>Total token cost USD/month</t>
        </is>
      </c>
      <c r="H1" s="1" t="inlineStr">
        <is>
          <t>Harness cost USD/month</t>
        </is>
      </c>
      <c r="I1" s="1" t="inlineStr">
        <is>
          <t>Other costs USD/month</t>
        </is>
      </c>
      <c r="J1" s="1" t="inlineStr">
        <is>
          <t>Total cost USD/month</t>
        </is>
      </c>
      <c r="K1" s="1" t="inlineStr">
        <is>
          <t>Status</t>
        </is>
      </c>
    </row>
    <row r="2">
      <c r="A2" t="inlineStr">
        <is>
          <t>Low</t>
        </is>
      </c>
      <c r="B2" s="2">
        <f>SUMIFS(Calculations!R2:R4,Calculations!A2:A4,A2)</f>
        <v/>
      </c>
      <c r="C2" s="2">
        <f>SUMIFS(Calculations!T2:T4,Calculations!A2:A4,A2)+SUMIFS(Calculations!V2:V4,Calculations!A2:A4,A2)+SUMIFS(Calculations!W2:W4,Calculations!A2:A4,A2)</f>
        <v/>
      </c>
      <c r="D2" s="2">
        <f>SUMIFS(Calculations!S2:S4,Calculations!A2:A4,A2)</f>
        <v/>
      </c>
      <c r="E2" s="2">
        <f>SUMIFS(Calculations!U2:U4,Calculations!A2:A4,A2)</f>
        <v/>
      </c>
      <c r="F2" s="2">
        <f>B2+D2</f>
        <v/>
      </c>
      <c r="G2" s="2">
        <f>C2+E2</f>
        <v/>
      </c>
      <c r="H2" s="2">
        <f>SUMIF(Summary!A2:A4,A2,Summary!J2:J4)</f>
        <v/>
      </c>
      <c r="I2" s="2">
        <f>SUMIF(Summary!A2:A4,A2,Summary!C2:C4)+SUMIF(Summary!A2:A4,A2,Summary!I2:I4)</f>
        <v/>
      </c>
      <c r="J2" s="2">
        <f>SUMIF(Summary!A2:A4,A2,Summary!D2:D4)</f>
        <v/>
      </c>
      <c r="K2" t="inlineStr">
        <is>
          <t>Complete</t>
        </is>
      </c>
    </row>
    <row r="3">
      <c r="A3" t="inlineStr">
        <is>
          <t>Expected</t>
        </is>
      </c>
      <c r="B3" s="2">
        <f>SUMIFS(Calculations!R2:R4,Calculations!A2:A4,A3)</f>
        <v/>
      </c>
      <c r="C3" s="2">
        <f>SUMIFS(Calculations!T2:T4,Calculations!A2:A4,A3)+SUMIFS(Calculations!V2:V4,Calculations!A2:A4,A3)+SUMIFS(Calculations!W2:W4,Calculations!A2:A4,A3)</f>
        <v/>
      </c>
      <c r="D3" s="2">
        <f>SUMIFS(Calculations!S2:S4,Calculations!A2:A4,A3)</f>
        <v/>
      </c>
      <c r="E3" s="2">
        <f>SUMIFS(Calculations!U2:U4,Calculations!A2:A4,A3)</f>
        <v/>
      </c>
      <c r="F3" s="2">
        <f>B3+D3</f>
        <v/>
      </c>
      <c r="G3" s="2">
        <f>C3+E3</f>
        <v/>
      </c>
      <c r="H3" s="2">
        <f>SUMIF(Summary!A2:A4,A3,Summary!J2:J4)</f>
        <v/>
      </c>
      <c r="I3" s="2">
        <f>SUMIF(Summary!A2:A4,A3,Summary!C2:C4)+SUMIF(Summary!A2:A4,A3,Summary!I2:I4)</f>
        <v/>
      </c>
      <c r="J3" s="2">
        <f>SUMIF(Summary!A2:A4,A3,Summary!D2:D4)</f>
        <v/>
      </c>
      <c r="K3" t="inlineStr">
        <is>
          <t>Complete</t>
        </is>
      </c>
    </row>
    <row r="4">
      <c r="A4" t="inlineStr">
        <is>
          <t>High</t>
        </is>
      </c>
      <c r="B4" s="2">
        <f>SUMIFS(Calculations!R2:R4,Calculations!A2:A4,A4)</f>
        <v/>
      </c>
      <c r="C4" s="2">
        <f>SUMIFS(Calculations!T2:T4,Calculations!A2:A4,A4)+SUMIFS(Calculations!V2:V4,Calculations!A2:A4,A4)+SUMIFS(Calculations!W2:W4,Calculations!A2:A4,A4)</f>
        <v/>
      </c>
      <c r="D4" s="2">
        <f>SUMIFS(Calculations!S2:S4,Calculations!A2:A4,A4)</f>
        <v/>
      </c>
      <c r="E4" s="2">
        <f>SUMIFS(Calculations!U2:U4,Calculations!A2:A4,A4)</f>
        <v/>
      </c>
      <c r="F4" s="2">
        <f>B4+D4</f>
        <v/>
      </c>
      <c r="G4" s="2">
        <f>C4+E4</f>
        <v/>
      </c>
      <c r="H4" s="2">
        <f>SUMIF(Summary!A2:A4,A4,Summary!J2:J4)</f>
        <v/>
      </c>
      <c r="I4" s="2">
        <f>SUMIF(Summary!A2:A4,A4,Summary!C2:C4)+SUMIF(Summary!A2:A4,A4,Summary!I2:I4)</f>
        <v/>
      </c>
      <c r="J4" s="2">
        <f>SUMIF(Summary!A2:A4,A4,Summary!D2:D4)</f>
        <v/>
      </c>
      <c r="K4" t="inlineStr">
        <is>
          <t>Complete</t>
        </is>
      </c>
    </row>
  </sheetData>
  <autoFilter ref="A1:K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1000</t>
        </is>
      </c>
      <c r="D2" t="inlineStr">
        <is>
          <t>100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</row>
  </sheetData>
  <autoFilter ref="A1:G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0.5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2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  <c r="D1" s="1" t="inlineStr">
        <is>
          <t>quantity</t>
        </is>
      </c>
      <c r="E1" s="1" t="inlineStr">
        <is>
          <t>frequency</t>
        </is>
      </c>
    </row>
    <row r="2">
      <c r="A2" t="inlineStr">
        <is>
          <t>suite-extra</t>
        </is>
      </c>
      <c r="B2" t="inlineStr">
        <is>
          <t>Suite storage</t>
        </is>
      </c>
      <c r="C2" t="inlineStr">
        <is>
          <t>5</t>
        </is>
      </c>
      <c r="D2" t="inlineStr">
        <is>
          <t>1</t>
        </is>
      </c>
      <c r="E2" t="inlineStr">
        <is>
          <t>monthly</t>
        </is>
      </c>
    </row>
    <row r="3">
      <c r="A3" t="inlineStr">
        <is>
          <t>setup</t>
        </is>
      </c>
      <c r="B3" t="inlineStr">
        <is>
          <t>Setup</t>
        </is>
      </c>
      <c r="C3" t="inlineStr">
        <is>
          <t>100</t>
        </is>
      </c>
      <c r="D3" t="inlineStr">
        <is>
          <t>1</t>
        </is>
      </c>
      <c r="E3" t="inlineStr">
        <is>
          <t>one-time</t>
        </is>
      </c>
    </row>
  </sheetData>
  <autoFilter ref="A1:E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9" customWidth="1" min="4" max="4"/>
    <col width="33" customWidth="1" min="5" max="5"/>
    <col width="3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4" customWidth="1" min="16" max="16"/>
    <col width="16" customWidth="1" min="17" max="17"/>
    <col width="20" customWidth="1" min="18" max="18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original currency/M</t>
        </is>
      </c>
      <c r="D1" s="1" t="inlineStr">
        <is>
          <t>Output original currency/M</t>
        </is>
      </c>
      <c r="E1" s="1" t="inlineStr">
        <is>
          <t>Cache read original currency/M</t>
        </is>
      </c>
      <c r="F1" s="1" t="inlineStr">
        <is>
          <t>Cache write original currency/M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  <c r="L1" s="1" t="inlineStr">
        <is>
          <t>Source type</t>
        </is>
      </c>
      <c r="M1" s="1" t="inlineStr">
        <is>
          <t>Channel</t>
        </is>
      </c>
      <c r="N1" s="1" t="inlineStr">
        <is>
          <t>Region</t>
        </is>
      </c>
      <c r="O1" s="1" t="inlineStr">
        <is>
          <t>Original currency</t>
        </is>
      </c>
      <c r="P1" s="1" t="inlineStr">
        <is>
          <t>USD per currency unit</t>
        </is>
      </c>
      <c r="Q1" s="1" t="inlineStr">
        <is>
          <t>FX source</t>
        </is>
      </c>
      <c r="R1" s="1" t="inlineStr">
        <is>
          <t>FX retrieval date</t>
        </is>
      </c>
    </row>
    <row r="2">
      <c r="A2" t="inlineStr">
        <is>
          <t>Fixture model</t>
        </is>
      </c>
      <c r="B2" t="inlineStr">
        <is>
          <t>Synthetic fixture</t>
        </is>
      </c>
      <c r="C2" s="2" t="n">
        <v>2</v>
      </c>
      <c r="D2" s="2" t="n">
        <v>8</v>
      </c>
      <c r="G2" t="inlineStr">
        <is>
          <t>Versioned E2E fixture</t>
        </is>
      </c>
      <c r="H2" t="inlineStr">
        <is>
          <t>2026-10-04</t>
        </is>
      </c>
      <c r="I2" s="2" t="b">
        <v>1</v>
      </c>
      <c r="J2" t="inlineStr"/>
      <c r="K2" t="inlineStr"/>
      <c r="L2" t="inlineStr">
        <is>
          <t>vendor_api</t>
        </is>
      </c>
      <c r="M2" t="inlineStr"/>
      <c r="N2" t="inlineStr"/>
      <c r="O2" t="inlineStr">
        <is>
          <t>USD</t>
        </is>
      </c>
      <c r="P2" s="2" t="n">
        <v>1</v>
      </c>
      <c r="Q2" t="inlineStr"/>
      <c r="R2" t="inlineStr"/>
    </row>
  </sheetData>
  <autoFilter ref="A1:R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Agent inventory total cost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Per-agent tool rows and the simple suite harness are separate. Cache storage, multimodal charges, and advanced platform billing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model row appears in Calculations and replaces the aggregate. Column G is raw calls in AJ multiplied by step x model probability in AK; edit AJ/AK to recalculate. The Agents sheet is an aggregate import template, not a lossless backup of detailed steps.</t>
        </is>
      </c>
    </row>
    <row r="17">
      <c r="A17" t="inlineStr">
        <is>
          <t>Tools, harness, and use cases</t>
        </is>
      </c>
      <c r="B17" t="inlineStr">
        <is>
          <t>Tool costs and Harness feed the Summary recurring total through formulas. Use cases stores the precomputed fully loaded DAG cost per completion; edit the graph in the app and re-export. A fixed harness charge stays in the suite total even at zero workload.</t>
        </is>
      </c>
    </row>
    <row r="18">
      <c r="A18" t="inlineStr">
        <is>
          <t>Original currency and FX</t>
        </is>
      </c>
      <c r="B18" t="inlineStr">
        <is>
          <t>Pricing records original-currency rates and the user-supplied USD conversion snapshot. Calculations stores the selected effective USD rates; changing FX in Pricing does not update Calculations until re-export.</t>
        </is>
      </c>
    </row>
    <row r="19">
      <c r="A19" t="inlineStr">
        <is>
          <t>Version</t>
        </is>
      </c>
      <c r="B19" t="inlineStr">
        <is>
          <t>Schema 8; defaults 1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2026-10-05T00:09:25Z</dcterms:created>
  <dcterms:modified xsi:type="dcterms:W3CDTF">2026-10-05T00:09:25Z</dcterms:modified>
</cp:coreProperties>
</file>