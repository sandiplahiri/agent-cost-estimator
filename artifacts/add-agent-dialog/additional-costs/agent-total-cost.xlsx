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'Calculations'!$A$1:$AM$4</definedName>
    <definedName name="_xlnm._FilterDatabase" localSheetId="2" hidden="1">'Agents'!$A$1:$P$2</definedName>
    <definedName name="_xlnm._FilterDatabase" localSheetId="3" hidden="1">'Agent identities'!$A$1:$E$3</definedName>
    <definedName name="_xlnm._FilterDatabase" localSheetId="4" hidden="1">'Volume'!$A$1:$L$2</definedName>
    <definedName name="_xlnm._FilterDatabase" localSheetId="5" hidden="1">'Agent links'!$A$1:$M$1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cases'!$A$1:$I$4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costs'!$A$1:$E$3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SUM(Calculations!X2:X2)</f>
        <v/>
      </c>
      <c r="C2" s="2" t="n">
        <v>5</v>
      </c>
      <c r="D2" s="2">
        <f>B2+C2+I2+J2</f>
        <v/>
      </c>
      <c r="E2" s="2" t="n">
        <v>100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SUM(Calculations!X3:X3)</f>
        <v/>
      </c>
      <c r="C3" s="2" t="n">
        <v>5</v>
      </c>
      <c r="D3" s="2">
        <f>B3+C3+I3+J3</f>
        <v/>
      </c>
      <c r="E3" s="2" t="n">
        <v>100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SUM(Calculations!X4:X4)</f>
        <v/>
      </c>
      <c r="C4" s="2" t="n">
        <v>5</v>
      </c>
      <c r="D4" s="2">
        <f>B4+C4+I4+J4</f>
        <v/>
      </c>
      <c r="E4" s="2" t="n">
        <v>100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Aggregate</t>
        </is>
      </c>
      <c r="D2" t="inlineStr">
        <is>
          <t>Fixture model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0.5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Aggregate</t>
        </is>
      </c>
      <c r="D3" t="inlineStr">
        <is>
          <t>Fixture model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1000</v>
      </c>
      <c r="J3" s="2" t="n">
        <v>100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High</t>
        </is>
      </c>
      <c r="B4" t="inlineStr">
        <is>
          <t>Paired agents</t>
        </is>
      </c>
      <c r="C4" t="inlineStr">
        <is>
          <t>Aggregate</t>
        </is>
      </c>
      <c r="D4" t="inlineStr">
        <is>
          <t>Fixture model</t>
        </is>
      </c>
      <c r="E4" s="2" t="n">
        <v>2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1500</v>
      </c>
      <c r="J4" s="2" t="n">
        <v>150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1</v>
      </c>
      <c r="AB4" s="2" t="n">
        <v>1</v>
      </c>
      <c r="AC4" s="2" t="n">
        <v>30</v>
      </c>
      <c r="AD4" s="2" t="n">
        <v>0</v>
      </c>
      <c r="AE4" s="2" t="n">
        <v>2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</sheetData>
  <autoFilter ref="A1:A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model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/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paired</t>
        </is>
      </c>
      <c r="B2" t="inlineStr">
        <is>
          <t>Paired agents</t>
        </is>
      </c>
      <c r="C2" t="inlineStr">
        <is>
          <t>paired-a</t>
        </is>
      </c>
      <c r="D2" t="inlineStr">
        <is>
          <t>Agent A</t>
        </is>
      </c>
      <c r="E2" t="inlineStr">
        <is>
          <t>First customer segment</t>
        </is>
      </c>
    </row>
    <row r="3">
      <c r="A3" t="inlineStr">
        <is>
          <t>paired</t>
        </is>
      </c>
      <c r="B3" t="inlineStr">
        <is>
          <t>Paired agents</t>
        </is>
      </c>
      <c r="C3" t="inlineStr">
        <is>
          <t>paired-b</t>
        </is>
      </c>
      <c r="D3" t="inlineStr">
        <is>
          <t>Agent B</t>
        </is>
      </c>
      <c r="E3" t="inlineStr">
        <is>
          <t>Second customer segment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paired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External lookup</t>
        </is>
      </c>
      <c r="D2" s="2" t="n">
        <v>30</v>
      </c>
      <c r="E2" s="2" t="n">
        <v>1</v>
      </c>
      <c r="F2" s="2" t="n">
        <v>1</v>
      </c>
      <c r="G2" s="2" t="n">
        <v>1</v>
      </c>
      <c r="H2" s="2" t="n">
        <v>0.5</v>
      </c>
      <c r="I2" s="2">
        <f>D2*E2*F2*G2*H2</f>
        <v/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External lookup</t>
        </is>
      </c>
      <c r="D3" s="2" t="n">
        <v>60</v>
      </c>
      <c r="E3" s="2" t="n">
        <v>1</v>
      </c>
      <c r="F3" s="2" t="n">
        <v>1</v>
      </c>
      <c r="G3" s="2" t="n">
        <v>1</v>
      </c>
      <c r="H3" s="2" t="n">
        <v>0.5</v>
      </c>
      <c r="I3" s="2">
        <f>D3*E3*F3*G3*H3</f>
        <v/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External lookup</t>
        </is>
      </c>
      <c r="D4" s="2" t="n">
        <v>120</v>
      </c>
      <c r="E4" s="2" t="n">
        <v>1</v>
      </c>
      <c r="F4" s="2" t="n">
        <v>1</v>
      </c>
      <c r="G4" s="2" t="n">
        <v>1</v>
      </c>
      <c r="H4" s="2" t="n">
        <v>0.5</v>
      </c>
      <c r="I4" s="2">
        <f>D4*E4*F4*G4*H4</f>
        <v/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Agent harness</t>
        </is>
      </c>
      <c r="D2" s="2" t="n">
        <v>6</v>
      </c>
      <c r="E2" s="2" t="n">
        <v>30</v>
      </c>
      <c r="F2" s="2" t="n">
        <v>0.1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Agent harness</t>
        </is>
      </c>
      <c r="D3" s="2" t="n">
        <v>6</v>
      </c>
      <c r="E3" s="2" t="n">
        <v>60</v>
      </c>
      <c r="F3" s="2" t="n">
        <v>0.1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Agent harness</t>
        </is>
      </c>
      <c r="D4" s="2" t="n">
        <v>6</v>
      </c>
      <c r="E4" s="2" t="n">
        <v>120</v>
      </c>
      <c r="F4" s="2" t="n">
        <v>0.1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Resolve customer request</t>
        </is>
      </c>
      <c r="D2" s="2" t="n">
        <v>30</v>
      </c>
      <c r="E2" s="2" t="n">
        <v>0.5021</v>
      </c>
      <c r="F2" s="2" t="n">
        <v>0.3</v>
      </c>
      <c r="G2" s="2" t="n">
        <v>0.8021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Resolve customer request</t>
        </is>
      </c>
      <c r="D3" s="2" t="n">
        <v>60</v>
      </c>
      <c r="E3" s="2" t="n">
        <v>0.5028</v>
      </c>
      <c r="F3" s="2" t="n">
        <v>0.2</v>
      </c>
      <c r="G3" s="2" t="n">
        <v>0.7028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Resolve customer request</t>
        </is>
      </c>
      <c r="D4" s="2" t="n">
        <v>120</v>
      </c>
      <c r="E4" s="2" t="n">
        <v>0.5042</v>
      </c>
      <c r="F4" s="2" t="n">
        <v>0.15</v>
      </c>
      <c r="G4" s="2" t="n">
        <v>0.6542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SUMIFS(Calculations!R2:R4,Calculations!A2:A4,A2)</f>
        <v/>
      </c>
      <c r="C2" s="2">
        <f>SUMIFS(Calculations!T2:T4,Calculations!A2:A4,A2)+SUMIFS(Calculations!V2:V4,Calculations!A2:A4,A2)+SUMIFS(Calculations!W2:W4,Calculations!A2:A4,A2)</f>
        <v/>
      </c>
      <c r="D2" s="2">
        <f>SUMIFS(Calculations!S2:S4,Calculations!A2:A4,A2)</f>
        <v/>
      </c>
      <c r="E2" s="2">
        <f>SUMIFS(Calculations!U2:U4,Calculations!A2:A4,A2)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SUMIFS(Calculations!R2:R4,Calculations!A2:A4,A3)</f>
        <v/>
      </c>
      <c r="C3" s="2">
        <f>SUMIFS(Calculations!T2:T4,Calculations!A2:A4,A3)+SUMIFS(Calculations!V2:V4,Calculations!A2:A4,A3)+SUMIFS(Calculations!W2:W4,Calculations!A2:A4,A3)</f>
        <v/>
      </c>
      <c r="D3" s="2">
        <f>SUMIFS(Calculations!S2:S4,Calculations!A2:A4,A3)</f>
        <v/>
      </c>
      <c r="E3" s="2">
        <f>SUMIFS(Calculations!U2:U4,Calculations!A2:A4,A3)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SUMIFS(Calculations!R2:R4,Calculations!A2:A4,A4)</f>
        <v/>
      </c>
      <c r="C4" s="2">
        <f>SUMIFS(Calculations!T2:T4,Calculations!A2:A4,A4)+SUMIFS(Calculations!V2:V4,Calculations!A2:A4,A4)+SUMIFS(Calculations!W2:W4,Calculations!A2:A4,A4)</f>
        <v/>
      </c>
      <c r="D4" s="2">
        <f>SUMIFS(Calculations!S2:S4,Calculations!A2:A4,A4)</f>
        <v/>
      </c>
      <c r="E4" s="2">
        <f>SUMIFS(Calculations!U2:U4,Calculations!A2:A4,A4)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0.5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2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frequency</t>
        </is>
      </c>
    </row>
    <row r="2">
      <c r="A2" t="inlineStr">
        <is>
          <t>suite-extra</t>
        </is>
      </c>
      <c r="B2" t="inlineStr">
        <is>
          <t>Suite storage</t>
        </is>
      </c>
      <c r="C2" t="inlineStr">
        <is>
          <t>5</t>
        </is>
      </c>
      <c r="D2" t="inlineStr">
        <is>
          <t>1</t>
        </is>
      </c>
      <c r="E2" t="inlineStr">
        <is>
          <t>monthly</t>
        </is>
      </c>
    </row>
    <row r="3">
      <c r="A3" t="inlineStr">
        <is>
          <t>setup</t>
        </is>
      </c>
      <c r="B3" t="inlineStr">
        <is>
          <t>Setup</t>
        </is>
      </c>
      <c r="C3" t="inlineStr">
        <is>
          <t>100</t>
        </is>
      </c>
      <c r="D3" t="inlineStr">
        <is>
          <t>1</t>
        </is>
      </c>
      <c r="E3" t="inlineStr">
        <is>
          <t>one-time</t>
        </is>
      </c>
    </row>
  </sheetData>
  <autoFilter ref="A1:E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 inventory total cost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2026-10-05T02:35:15Z</dcterms:created>
  <dcterms:modified xsi:type="dcterms:W3CDTF">2026-10-05T02:35:15Z</dcterms:modified>
</cp:coreProperties>
</file>