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'Calculations'!$A$1:$AM$16</definedName>
    <definedName name="_xlnm._FilterDatabase" localSheetId="2" hidden="1">'Agents'!$A$1:$P$5</definedName>
    <definedName name="_xlnm._FilterDatabase" localSheetId="3" hidden="1">'Agent identities'!$A$1:$E$5</definedName>
    <definedName name="_xlnm._FilterDatabase" localSheetId="4" hidden="1">'Volume'!$A$1:$L$5</definedName>
    <definedName name="_xlnm._FilterDatabase" localSheetId="5" hidden="1">'Agent links'!$A$1:$M$10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cases'!$A$1:$I$13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costs'!$A$1:$A$1</definedName>
    <definedName name="_xlnm._FilterDatabase" localSheetId="17" hidden="1">'Pricing'!$A$1:$R$4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SUM(Calculations!X2:X6)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SUM(Calculations!X7:X11)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SUM(Calculations!X12:X16)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Main step</t>
        </is>
      </c>
      <c r="D2" t="inlineStr">
        <is>
          <t>Fixture model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10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L2" t="inlineStr">
        <is>
          <t>planner-step</t>
        </is>
      </c>
      <c r="AM2" t="inlineStr"/>
    </row>
    <row r="3">
      <c r="A3" t="inlineStr">
        <is>
          <t>Low</t>
        </is>
      </c>
      <c r="B3" t="inlineStr">
        <is>
          <t>Research</t>
        </is>
      </c>
      <c r="C3" t="inlineStr">
        <is>
          <t>Main step</t>
        </is>
      </c>
      <c r="D3" t="inlineStr">
        <is>
          <t>Fixture model</t>
        </is>
      </c>
      <c r="E3" s="2" t="n">
        <v>1</v>
      </c>
      <c r="F3" s="2" t="n">
        <v>450</v>
      </c>
      <c r="G3" s="2">
        <f>AJ3*AK3</f>
        <v/>
      </c>
      <c r="H3" s="2" t="n">
        <v>0</v>
      </c>
      <c r="I3" s="2" t="n">
        <v>750</v>
      </c>
      <c r="J3" s="2" t="n">
        <v>75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derived</t>
        </is>
      </c>
      <c r="AA3" s="2" t="n">
        <v>0</v>
      </c>
      <c r="AB3" s="2" t="n">
        <v>0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L3" t="inlineStr">
        <is>
          <t>research-step</t>
        </is>
      </c>
      <c r="AM3" t="inlineStr"/>
    </row>
    <row r="4">
      <c r="A4" t="inlineStr">
        <is>
          <t>Low</t>
        </is>
      </c>
      <c r="B4" t="inlineStr">
        <is>
          <t>Reviewer</t>
        </is>
      </c>
      <c r="C4" t="inlineStr">
        <is>
          <t>Main step</t>
        </is>
      </c>
      <c r="D4" t="inlineStr">
        <is>
          <t>Fixture model</t>
        </is>
      </c>
      <c r="E4" s="2" t="n">
        <v>1</v>
      </c>
      <c r="F4" s="2" t="n">
        <v>180</v>
      </c>
      <c r="G4" s="2">
        <f>AJ4*AK4</f>
        <v/>
      </c>
      <c r="H4" s="2" t="n">
        <v>0</v>
      </c>
      <c r="I4" s="2" t="n">
        <v>750</v>
      </c>
      <c r="J4" s="2" t="n">
        <v>75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L4" t="inlineStr">
        <is>
          <t>reviewer-step</t>
        </is>
      </c>
      <c r="AM4" t="inlineStr"/>
    </row>
    <row r="5">
      <c r="A5" t="inlineStr">
        <is>
          <t>Low</t>
        </is>
      </c>
      <c r="B5" t="inlineStr">
        <is>
          <t>Planner A tuned</t>
        </is>
      </c>
      <c r="C5" t="inlineStr">
        <is>
          <t>Main step</t>
        </is>
      </c>
      <c r="D5" t="inlineStr">
        <is>
          <t>Fixture model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</v>
      </c>
      <c r="I5" s="2" t="n">
        <v>750</v>
      </c>
      <c r="J5" s="2" t="n">
        <v>75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2</v>
      </c>
      <c r="AB5" s="2" t="n">
        <v>10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L5" t="inlineStr">
        <is>
          <t>f4428fb3-6347-41ca-93e0-3039715c00bd</t>
        </is>
      </c>
      <c r="AM5" t="inlineStr"/>
    </row>
    <row r="6">
      <c r="A6" t="inlineStr">
        <is>
          <t>Low</t>
        </is>
      </c>
      <c r="B6" t="inlineStr">
        <is>
          <t>Planner A tuned</t>
        </is>
      </c>
      <c r="C6" t="inlineStr">
        <is>
          <t>Review plan</t>
        </is>
      </c>
      <c r="D6" t="inlineStr">
        <is>
          <t>Fixture review model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</v>
      </c>
      <c r="I6" s="2" t="n">
        <v>750</v>
      </c>
      <c r="J6" s="2" t="n">
        <v>75</v>
      </c>
      <c r="K6" s="2" t="n">
        <v>0</v>
      </c>
      <c r="L6" s="2" t="n">
        <v>0</v>
      </c>
      <c r="M6" s="2" t="n">
        <v>1</v>
      </c>
      <c r="N6" s="2" t="n">
        <v>4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2</v>
      </c>
      <c r="AB6" s="2" t="n">
        <v>10</v>
      </c>
      <c r="AC6" s="2" t="n">
        <v>30</v>
      </c>
      <c r="AD6" s="2" t="n">
        <v>0</v>
      </c>
      <c r="AE6" s="2" t="n">
        <v>1</v>
      </c>
      <c r="AF6" t="inlineStr">
        <is>
          <t>medium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L6" t="inlineStr">
        <is>
          <t>66a49eff-8377-4a29-9f50-5186dba03855</t>
        </is>
      </c>
      <c r="AM6" t="inlineStr"/>
    </row>
    <row r="7">
      <c r="A7" t="inlineStr">
        <is>
          <t>Expected</t>
        </is>
      </c>
      <c r="B7" t="inlineStr">
        <is>
          <t>Planner group</t>
        </is>
      </c>
      <c r="C7" t="inlineStr">
        <is>
          <t>Main step</t>
        </is>
      </c>
      <c r="D7" t="inlineStr">
        <is>
          <t>Fixture model</t>
        </is>
      </c>
      <c r="E7" s="2" t="n">
        <v>1</v>
      </c>
      <c r="F7" s="2">
        <f>IF(Z7="daily_users",AA7*AB7*AC7,AD7)*AE7</f>
        <v/>
      </c>
      <c r="G7" s="2">
        <f>AJ7*AK7</f>
        <v/>
      </c>
      <c r="H7" s="2" t="n">
        <v>0</v>
      </c>
      <c r="I7" s="2" t="n">
        <v>1000</v>
      </c>
      <c r="J7" s="2" t="n">
        <v>100</v>
      </c>
      <c r="K7" s="2" t="n">
        <v>0</v>
      </c>
      <c r="L7" s="2" t="n">
        <v>0</v>
      </c>
      <c r="M7" s="2" t="n">
        <v>2</v>
      </c>
      <c r="N7" s="2" t="n">
        <v>8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1</v>
      </c>
      <c r="AB7" s="2" t="n">
        <v>10</v>
      </c>
      <c r="AC7" s="2" t="n">
        <v>30</v>
      </c>
      <c r="AD7" s="2" t="n">
        <v>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</v>
      </c>
      <c r="AK7" s="2" t="n">
        <v>1</v>
      </c>
      <c r="AL7" t="inlineStr">
        <is>
          <t>planner-step</t>
        </is>
      </c>
      <c r="AM7" t="inlineStr"/>
    </row>
    <row r="8">
      <c r="A8" t="inlineStr">
        <is>
          <t>Expected</t>
        </is>
      </c>
      <c r="B8" t="inlineStr">
        <is>
          <t>Research</t>
        </is>
      </c>
      <c r="C8" t="inlineStr">
        <is>
          <t>Main step</t>
        </is>
      </c>
      <c r="D8" t="inlineStr">
        <is>
          <t>Fixture model</t>
        </is>
      </c>
      <c r="E8" s="2" t="n">
        <v>1</v>
      </c>
      <c r="F8" s="2" t="n">
        <v>450</v>
      </c>
      <c r="G8" s="2">
        <f>AJ8*AK8</f>
        <v/>
      </c>
      <c r="H8" s="2" t="n">
        <v>0</v>
      </c>
      <c r="I8" s="2" t="n">
        <v>1000</v>
      </c>
      <c r="J8" s="2" t="n">
        <v>100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derived</t>
        </is>
      </c>
      <c r="AA8" s="2" t="n">
        <v>0</v>
      </c>
      <c r="AB8" s="2" t="n">
        <v>0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L8" t="inlineStr">
        <is>
          <t>research-step</t>
        </is>
      </c>
      <c r="AM8" t="inlineStr"/>
    </row>
    <row r="9">
      <c r="A9" t="inlineStr">
        <is>
          <t>Expected</t>
        </is>
      </c>
      <c r="B9" t="inlineStr">
        <is>
          <t>Reviewer</t>
        </is>
      </c>
      <c r="C9" t="inlineStr">
        <is>
          <t>Main step</t>
        </is>
      </c>
      <c r="D9" t="inlineStr">
        <is>
          <t>Fixture model</t>
        </is>
      </c>
      <c r="E9" s="2" t="n">
        <v>1</v>
      </c>
      <c r="F9" s="2" t="n">
        <v>180</v>
      </c>
      <c r="G9" s="2">
        <f>AJ9*AK9</f>
        <v/>
      </c>
      <c r="H9" s="2" t="n">
        <v>0</v>
      </c>
      <c r="I9" s="2" t="n">
        <v>1000</v>
      </c>
      <c r="J9" s="2" t="n">
        <v>100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derived</t>
        </is>
      </c>
      <c r="AA9" s="2" t="n">
        <v>0</v>
      </c>
      <c r="AB9" s="2" t="n">
        <v>0</v>
      </c>
      <c r="AC9" s="2" t="n">
        <v>30</v>
      </c>
      <c r="AD9" s="2" t="n">
        <v>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1</v>
      </c>
      <c r="AL9" t="inlineStr">
        <is>
          <t>reviewer-step</t>
        </is>
      </c>
      <c r="AM9" t="inlineStr"/>
    </row>
    <row r="10">
      <c r="A10" t="inlineStr">
        <is>
          <t>Expected</t>
        </is>
      </c>
      <c r="B10" t="inlineStr">
        <is>
          <t>Planner A tuned</t>
        </is>
      </c>
      <c r="C10" t="inlineStr">
        <is>
          <t>Main step</t>
        </is>
      </c>
      <c r="D10" t="inlineStr">
        <is>
          <t>Fixture model</t>
        </is>
      </c>
      <c r="E10" s="2" t="n">
        <v>1</v>
      </c>
      <c r="F10" s="2">
        <f>IF(Z10="daily_users",AA10*AB10*AC10,AD10)*AE10</f>
        <v/>
      </c>
      <c r="G10" s="2">
        <f>AJ10*AK10</f>
        <v/>
      </c>
      <c r="H10" s="2" t="n">
        <v>0</v>
      </c>
      <c r="I10" s="2" t="n">
        <v>1000</v>
      </c>
      <c r="J10" s="2" t="n">
        <v>100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2</v>
      </c>
      <c r="AB10" s="2" t="n">
        <v>10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</v>
      </c>
      <c r="AK10" s="2" t="n">
        <v>1</v>
      </c>
      <c r="AL10" t="inlineStr">
        <is>
          <t>f4428fb3-6347-41ca-93e0-3039715c00bd</t>
        </is>
      </c>
      <c r="AM10" t="inlineStr"/>
    </row>
    <row r="11">
      <c r="A11" t="inlineStr">
        <is>
          <t>Expected</t>
        </is>
      </c>
      <c r="B11" t="inlineStr">
        <is>
          <t>Planner A tuned</t>
        </is>
      </c>
      <c r="C11" t="inlineStr">
        <is>
          <t>Review plan</t>
        </is>
      </c>
      <c r="D11" t="inlineStr">
        <is>
          <t>Fixture review model</t>
        </is>
      </c>
      <c r="E11" s="2" t="n">
        <v>1</v>
      </c>
      <c r="F11" s="2">
        <f>IF(Z11="daily_users",AA11*AB11*AC11,AD11)*AE11</f>
        <v/>
      </c>
      <c r="G11" s="2">
        <f>AJ11*AK11</f>
        <v/>
      </c>
      <c r="H11" s="2" t="n">
        <v>0</v>
      </c>
      <c r="I11" s="2" t="n">
        <v>1000</v>
      </c>
      <c r="J11" s="2" t="n">
        <v>100</v>
      </c>
      <c r="K11" s="2" t="n">
        <v>0</v>
      </c>
      <c r="L11" s="2" t="n">
        <v>0</v>
      </c>
      <c r="M11" s="2" t="n">
        <v>1</v>
      </c>
      <c r="N11" s="2" t="n">
        <v>4</v>
      </c>
      <c r="Q11" s="2">
        <f>E11*F11*G11*(1+H11)</f>
        <v/>
      </c>
      <c r="R11" s="2">
        <f>Q11*I11</f>
        <v/>
      </c>
      <c r="S11" s="2">
        <f>Q11*J11</f>
        <v/>
      </c>
      <c r="T11" s="2">
        <f>R11*(1-K11-L11)*M11/1000000</f>
        <v/>
      </c>
      <c r="U11" s="2">
        <f>S11*N11/1000000</f>
        <v/>
      </c>
      <c r="V11" s="2">
        <f>R11*K11*O11/1000000</f>
        <v/>
      </c>
      <c r="W11" s="2">
        <f>R11*L11*P11/1000000</f>
        <v/>
      </c>
      <c r="X11" s="2">
        <f>SUM(T11:W11)</f>
        <v/>
      </c>
      <c r="Y11" t="inlineStr">
        <is>
          <t>Complete</t>
        </is>
      </c>
      <c r="Z11" t="inlineStr">
        <is>
          <t>daily_users</t>
        </is>
      </c>
      <c r="AA11" s="2" t="n">
        <v>2</v>
      </c>
      <c r="AB11" s="2" t="n">
        <v>10</v>
      </c>
      <c r="AC11" s="2" t="n">
        <v>30</v>
      </c>
      <c r="AD11" s="2" t="n">
        <v>0</v>
      </c>
      <c r="AE11" s="2" t="n">
        <v>1</v>
      </c>
      <c r="AF11" t="inlineStr">
        <is>
          <t>medium</t>
        </is>
      </c>
      <c r="AG11" s="2">
        <f>R11*(1-K11-L11)</f>
        <v/>
      </c>
      <c r="AH11" s="2">
        <f>R11*K11</f>
        <v/>
      </c>
      <c r="AI11" s="2">
        <f>R11*L11</f>
        <v/>
      </c>
      <c r="AJ11" s="2" t="n">
        <v>1</v>
      </c>
      <c r="AK11" s="2" t="n">
        <v>1</v>
      </c>
      <c r="AL11" t="inlineStr">
        <is>
          <t>66a49eff-8377-4a29-9f50-5186dba03855</t>
        </is>
      </c>
      <c r="AM11" t="inlineStr"/>
    </row>
    <row r="12">
      <c r="A12" t="inlineStr">
        <is>
          <t>High</t>
        </is>
      </c>
      <c r="B12" t="inlineStr">
        <is>
          <t>Planner group</t>
        </is>
      </c>
      <c r="C12" t="inlineStr">
        <is>
          <t>Main step</t>
        </is>
      </c>
      <c r="D12" t="inlineStr">
        <is>
          <t>Fixture model</t>
        </is>
      </c>
      <c r="E12" s="2" t="n">
        <v>1</v>
      </c>
      <c r="F12" s="2">
        <f>IF(Z12="daily_users",AA12*AB12*AC12,AD12)*AE12</f>
        <v/>
      </c>
      <c r="G12" s="2">
        <f>AJ12*AK12</f>
        <v/>
      </c>
      <c r="H12" s="2" t="n">
        <v>0</v>
      </c>
      <c r="I12" s="2" t="n">
        <v>1500</v>
      </c>
      <c r="J12" s="2" t="n">
        <v>150</v>
      </c>
      <c r="K12" s="2" t="n">
        <v>0</v>
      </c>
      <c r="L12" s="2" t="n">
        <v>0</v>
      </c>
      <c r="M12" s="2" t="n">
        <v>2</v>
      </c>
      <c r="N12" s="2" t="n">
        <v>8</v>
      </c>
      <c r="Q12" s="2">
        <f>E12*F12*G12*(1+H12)</f>
        <v/>
      </c>
      <c r="R12" s="2">
        <f>Q12*I12</f>
        <v/>
      </c>
      <c r="S12" s="2">
        <f>Q12*J12</f>
        <v/>
      </c>
      <c r="T12" s="2">
        <f>R12*(1-K12-L12)*M12/1000000</f>
        <v/>
      </c>
      <c r="U12" s="2">
        <f>S12*N12/1000000</f>
        <v/>
      </c>
      <c r="V12" s="2">
        <f>R12*K12*O12/1000000</f>
        <v/>
      </c>
      <c r="W12" s="2">
        <f>R12*L12*P12/1000000</f>
        <v/>
      </c>
      <c r="X12" s="2">
        <f>SUM(T12:W12)</f>
        <v/>
      </c>
      <c r="Y12" t="inlineStr">
        <is>
          <t>Complete</t>
        </is>
      </c>
      <c r="Z12" t="inlineStr">
        <is>
          <t>daily_users</t>
        </is>
      </c>
      <c r="AA12" s="2" t="n">
        <v>1</v>
      </c>
      <c r="AB12" s="2" t="n">
        <v>10</v>
      </c>
      <c r="AC12" s="2" t="n">
        <v>30</v>
      </c>
      <c r="AD12" s="2" t="n">
        <v>0</v>
      </c>
      <c r="AE12" s="2" t="n">
        <v>1</v>
      </c>
      <c r="AF12" t="inlineStr">
        <is>
          <t>simple</t>
        </is>
      </c>
      <c r="AG12" s="2">
        <f>R12*(1-K12-L12)</f>
        <v/>
      </c>
      <c r="AH12" s="2">
        <f>R12*K12</f>
        <v/>
      </c>
      <c r="AI12" s="2">
        <f>R12*L12</f>
        <v/>
      </c>
      <c r="AJ12" s="2" t="n">
        <v>1</v>
      </c>
      <c r="AK12" s="2" t="n">
        <v>1</v>
      </c>
      <c r="AL12" t="inlineStr">
        <is>
          <t>planner-step</t>
        </is>
      </c>
      <c r="AM12" t="inlineStr"/>
    </row>
    <row r="13">
      <c r="A13" t="inlineStr">
        <is>
          <t>High</t>
        </is>
      </c>
      <c r="B13" t="inlineStr">
        <is>
          <t>Research</t>
        </is>
      </c>
      <c r="C13" t="inlineStr">
        <is>
          <t>Main step</t>
        </is>
      </c>
      <c r="D13" t="inlineStr">
        <is>
          <t>Fixture model</t>
        </is>
      </c>
      <c r="E13" s="2" t="n">
        <v>1</v>
      </c>
      <c r="F13" s="2" t="n">
        <v>450</v>
      </c>
      <c r="G13" s="2">
        <f>AJ13*AK13</f>
        <v/>
      </c>
      <c r="H13" s="2" t="n">
        <v>0</v>
      </c>
      <c r="I13" s="2" t="n">
        <v>1500</v>
      </c>
      <c r="J13" s="2" t="n">
        <v>150</v>
      </c>
      <c r="K13" s="2" t="n">
        <v>0</v>
      </c>
      <c r="L13" s="2" t="n">
        <v>0</v>
      </c>
      <c r="M13" s="2" t="n">
        <v>2</v>
      </c>
      <c r="N13" s="2" t="n">
        <v>8</v>
      </c>
      <c r="Q13" s="2">
        <f>E13*F13*G13*(1+H13)</f>
        <v/>
      </c>
      <c r="R13" s="2">
        <f>Q13*I13</f>
        <v/>
      </c>
      <c r="S13" s="2">
        <f>Q13*J13</f>
        <v/>
      </c>
      <c r="T13" s="2">
        <f>R13*(1-K13-L13)*M13/1000000</f>
        <v/>
      </c>
      <c r="U13" s="2">
        <f>S13*N13/1000000</f>
        <v/>
      </c>
      <c r="V13" s="2">
        <f>R13*K13*O13/1000000</f>
        <v/>
      </c>
      <c r="W13" s="2">
        <f>R13*L13*P13/1000000</f>
        <v/>
      </c>
      <c r="X13" s="2">
        <f>SUM(T13:W13)</f>
        <v/>
      </c>
      <c r="Y13" t="inlineStr">
        <is>
          <t>Complete</t>
        </is>
      </c>
      <c r="Z13" t="inlineStr">
        <is>
          <t>derived</t>
        </is>
      </c>
      <c r="AA13" s="2" t="n">
        <v>0</v>
      </c>
      <c r="AB13" s="2" t="n">
        <v>0</v>
      </c>
      <c r="AC13" s="2" t="n">
        <v>30</v>
      </c>
      <c r="AD13" s="2" t="n">
        <v>0</v>
      </c>
      <c r="AE13" s="2" t="n">
        <v>1</v>
      </c>
      <c r="AF13" t="inlineStr">
        <is>
          <t>simple</t>
        </is>
      </c>
      <c r="AG13" s="2">
        <f>R13*(1-K13-L13)</f>
        <v/>
      </c>
      <c r="AH13" s="2">
        <f>R13*K13</f>
        <v/>
      </c>
      <c r="AI13" s="2">
        <f>R13*L13</f>
        <v/>
      </c>
      <c r="AJ13" s="2" t="n">
        <v>1</v>
      </c>
      <c r="AK13" s="2" t="n">
        <v>1</v>
      </c>
      <c r="AL13" t="inlineStr">
        <is>
          <t>research-step</t>
        </is>
      </c>
      <c r="AM13" t="inlineStr"/>
    </row>
    <row r="14">
      <c r="A14" t="inlineStr">
        <is>
          <t>High</t>
        </is>
      </c>
      <c r="B14" t="inlineStr">
        <is>
          <t>Reviewer</t>
        </is>
      </c>
      <c r="C14" t="inlineStr">
        <is>
          <t>Main step</t>
        </is>
      </c>
      <c r="D14" t="inlineStr">
        <is>
          <t>Fixture model</t>
        </is>
      </c>
      <c r="E14" s="2" t="n">
        <v>1</v>
      </c>
      <c r="F14" s="2" t="n">
        <v>180</v>
      </c>
      <c r="G14" s="2">
        <f>AJ14*AK14</f>
        <v/>
      </c>
      <c r="H14" s="2" t="n">
        <v>0</v>
      </c>
      <c r="I14" s="2" t="n">
        <v>1500</v>
      </c>
      <c r="J14" s="2" t="n">
        <v>150</v>
      </c>
      <c r="K14" s="2" t="n">
        <v>0</v>
      </c>
      <c r="L14" s="2" t="n">
        <v>0</v>
      </c>
      <c r="M14" s="2" t="n">
        <v>2</v>
      </c>
      <c r="N14" s="2" t="n">
        <v>8</v>
      </c>
      <c r="Q14" s="2">
        <f>E14*F14*G14*(1+H14)</f>
        <v/>
      </c>
      <c r="R14" s="2">
        <f>Q14*I14</f>
        <v/>
      </c>
      <c r="S14" s="2">
        <f>Q14*J14</f>
        <v/>
      </c>
      <c r="T14" s="2">
        <f>R14*(1-K14-L14)*M14/1000000</f>
        <v/>
      </c>
      <c r="U14" s="2">
        <f>S14*N14/1000000</f>
        <v/>
      </c>
      <c r="V14" s="2">
        <f>R14*K14*O14/1000000</f>
        <v/>
      </c>
      <c r="W14" s="2">
        <f>R14*L14*P14/1000000</f>
        <v/>
      </c>
      <c r="X14" s="2">
        <f>SUM(T14:W14)</f>
        <v/>
      </c>
      <c r="Y14" t="inlineStr">
        <is>
          <t>Complete</t>
        </is>
      </c>
      <c r="Z14" t="inlineStr">
        <is>
          <t>derived</t>
        </is>
      </c>
      <c r="AA14" s="2" t="n">
        <v>0</v>
      </c>
      <c r="AB14" s="2" t="n">
        <v>0</v>
      </c>
      <c r="AC14" s="2" t="n">
        <v>30</v>
      </c>
      <c r="AD14" s="2" t="n">
        <v>0</v>
      </c>
      <c r="AE14" s="2" t="n">
        <v>1</v>
      </c>
      <c r="AF14" t="inlineStr">
        <is>
          <t>simple</t>
        </is>
      </c>
      <c r="AG14" s="2">
        <f>R14*(1-K14-L14)</f>
        <v/>
      </c>
      <c r="AH14" s="2">
        <f>R14*K14</f>
        <v/>
      </c>
      <c r="AI14" s="2">
        <f>R14*L14</f>
        <v/>
      </c>
      <c r="AJ14" s="2" t="n">
        <v>1</v>
      </c>
      <c r="AK14" s="2" t="n">
        <v>1</v>
      </c>
      <c r="AL14" t="inlineStr">
        <is>
          <t>reviewer-step</t>
        </is>
      </c>
      <c r="AM14" t="inlineStr"/>
    </row>
    <row r="15">
      <c r="A15" t="inlineStr">
        <is>
          <t>High</t>
        </is>
      </c>
      <c r="B15" t="inlineStr">
        <is>
          <t>Planner A tuned</t>
        </is>
      </c>
      <c r="C15" t="inlineStr">
        <is>
          <t>Main step</t>
        </is>
      </c>
      <c r="D15" t="inlineStr">
        <is>
          <t>Fixture model</t>
        </is>
      </c>
      <c r="E15" s="2" t="n">
        <v>1</v>
      </c>
      <c r="F15" s="2">
        <f>IF(Z15="daily_users",AA15*AB15*AC15,AD15)*AE15</f>
        <v/>
      </c>
      <c r="G15" s="2">
        <f>AJ15*AK15</f>
        <v/>
      </c>
      <c r="H15" s="2" t="n">
        <v>0</v>
      </c>
      <c r="I15" s="2" t="n">
        <v>1500</v>
      </c>
      <c r="J15" s="2" t="n">
        <v>150</v>
      </c>
      <c r="K15" s="2" t="n">
        <v>0</v>
      </c>
      <c r="L15" s="2" t="n">
        <v>0</v>
      </c>
      <c r="M15" s="2" t="n">
        <v>2</v>
      </c>
      <c r="N15" s="2" t="n">
        <v>8</v>
      </c>
      <c r="Q15" s="2">
        <f>E15*F15*G15*(1+H15)</f>
        <v/>
      </c>
      <c r="R15" s="2">
        <f>Q15*I15</f>
        <v/>
      </c>
      <c r="S15" s="2">
        <f>Q15*J15</f>
        <v/>
      </c>
      <c r="T15" s="2">
        <f>R15*(1-K15-L15)*M15/1000000</f>
        <v/>
      </c>
      <c r="U15" s="2">
        <f>S15*N15/1000000</f>
        <v/>
      </c>
      <c r="V15" s="2">
        <f>R15*K15*O15/1000000</f>
        <v/>
      </c>
      <c r="W15" s="2">
        <f>R15*L15*P15/1000000</f>
        <v/>
      </c>
      <c r="X15" s="2">
        <f>SUM(T15:W15)</f>
        <v/>
      </c>
      <c r="Y15" t="inlineStr">
        <is>
          <t>Complete</t>
        </is>
      </c>
      <c r="Z15" t="inlineStr">
        <is>
          <t>daily_users</t>
        </is>
      </c>
      <c r="AA15" s="2" t="n">
        <v>2</v>
      </c>
      <c r="AB15" s="2" t="n">
        <v>10</v>
      </c>
      <c r="AC15" s="2" t="n">
        <v>30</v>
      </c>
      <c r="AD15" s="2" t="n">
        <v>0</v>
      </c>
      <c r="AE15" s="2" t="n">
        <v>1</v>
      </c>
      <c r="AF15" t="inlineStr">
        <is>
          <t>simple</t>
        </is>
      </c>
      <c r="AG15" s="2">
        <f>R15*(1-K15-L15)</f>
        <v/>
      </c>
      <c r="AH15" s="2">
        <f>R15*K15</f>
        <v/>
      </c>
      <c r="AI15" s="2">
        <f>R15*L15</f>
        <v/>
      </c>
      <c r="AJ15" s="2" t="n">
        <v>1</v>
      </c>
      <c r="AK15" s="2" t="n">
        <v>1</v>
      </c>
      <c r="AL15" t="inlineStr">
        <is>
          <t>f4428fb3-6347-41ca-93e0-3039715c00bd</t>
        </is>
      </c>
      <c r="AM15" t="inlineStr"/>
    </row>
    <row r="16">
      <c r="A16" t="inlineStr">
        <is>
          <t>High</t>
        </is>
      </c>
      <c r="B16" t="inlineStr">
        <is>
          <t>Planner A tuned</t>
        </is>
      </c>
      <c r="C16" t="inlineStr">
        <is>
          <t>Review plan</t>
        </is>
      </c>
      <c r="D16" t="inlineStr">
        <is>
          <t>Fixture review model</t>
        </is>
      </c>
      <c r="E16" s="2" t="n">
        <v>1</v>
      </c>
      <c r="F16" s="2">
        <f>IF(Z16="daily_users",AA16*AB16*AC16,AD16)*AE16</f>
        <v/>
      </c>
      <c r="G16" s="2">
        <f>AJ16*AK16</f>
        <v/>
      </c>
      <c r="H16" s="2" t="n">
        <v>0</v>
      </c>
      <c r="I16" s="2" t="n">
        <v>1500</v>
      </c>
      <c r="J16" s="2" t="n">
        <v>150</v>
      </c>
      <c r="K16" s="2" t="n">
        <v>0</v>
      </c>
      <c r="L16" s="2" t="n">
        <v>0</v>
      </c>
      <c r="M16" s="2" t="n">
        <v>1</v>
      </c>
      <c r="N16" s="2" t="n">
        <v>4</v>
      </c>
      <c r="Q16" s="2">
        <f>E16*F16*G16*(1+H16)</f>
        <v/>
      </c>
      <c r="R16" s="2">
        <f>Q16*I16</f>
        <v/>
      </c>
      <c r="S16" s="2">
        <f>Q16*J16</f>
        <v/>
      </c>
      <c r="T16" s="2">
        <f>R16*(1-K16-L16)*M16/1000000</f>
        <v/>
      </c>
      <c r="U16" s="2">
        <f>S16*N16/1000000</f>
        <v/>
      </c>
      <c r="V16" s="2">
        <f>R16*K16*O16/1000000</f>
        <v/>
      </c>
      <c r="W16" s="2">
        <f>R16*L16*P16/1000000</f>
        <v/>
      </c>
      <c r="X16" s="2">
        <f>SUM(T16:W16)</f>
        <v/>
      </c>
      <c r="Y16" t="inlineStr">
        <is>
          <t>Complete</t>
        </is>
      </c>
      <c r="Z16" t="inlineStr">
        <is>
          <t>daily_users</t>
        </is>
      </c>
      <c r="AA16" s="2" t="n">
        <v>2</v>
      </c>
      <c r="AB16" s="2" t="n">
        <v>10</v>
      </c>
      <c r="AC16" s="2" t="n">
        <v>30</v>
      </c>
      <c r="AD16" s="2" t="n">
        <v>0</v>
      </c>
      <c r="AE16" s="2" t="n">
        <v>1</v>
      </c>
      <c r="AF16" t="inlineStr">
        <is>
          <t>medium</t>
        </is>
      </c>
      <c r="AG16" s="2">
        <f>R16*(1-K16-L16)</f>
        <v/>
      </c>
      <c r="AH16" s="2">
        <f>R16*K16</f>
        <v/>
      </c>
      <c r="AI16" s="2">
        <f>R16*L16</f>
        <v/>
      </c>
      <c r="AJ16" s="2" t="n">
        <v>1</v>
      </c>
      <c r="AK16" s="2" t="n">
        <v>1</v>
      </c>
      <c r="AL16" t="inlineStr">
        <is>
          <t>66a49eff-8377-4a29-9f50-5186dba03855</t>
        </is>
      </c>
      <c r="AM16" t="inlineStr"/>
    </row>
  </sheetData>
  <autoFilter ref="A1:AM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Planner group</t>
        </is>
      </c>
      <c r="B2" t="inlineStr">
        <is>
          <t>simple</t>
        </is>
      </c>
      <c r="C2" s="2" t="n">
        <v>1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10</v>
      </c>
      <c r="O2" t="inlineStr">
        <is>
          <t>planner-2</t>
        </is>
      </c>
      <c r="P2" t="inlineStr">
        <is>
          <t>Planner B business use case</t>
        </is>
      </c>
    </row>
    <row r="3">
      <c r="A3" t="inlineStr">
        <is>
          <t>Research</t>
        </is>
      </c>
      <c r="B3" t="inlineStr">
        <is>
          <t>simple</t>
        </is>
      </c>
      <c r="C3" s="2" t="n">
        <v>1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derived</t>
        </is>
      </c>
      <c r="M3" s="2" t="n">
        <v>0</v>
      </c>
      <c r="N3" s="2" t="n">
        <v>0</v>
      </c>
      <c r="O3" t="inlineStr">
        <is>
          <t>research-1</t>
        </is>
      </c>
      <c r="P3" t="inlineStr">
        <is>
          <t>Research business use case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s="2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derived</t>
        </is>
      </c>
      <c r="M4" s="2" t="n">
        <v>0</v>
      </c>
      <c r="N4" s="2" t="n">
        <v>0</v>
      </c>
      <c r="O4" t="inlineStr">
        <is>
          <t>reviewer-1</t>
        </is>
      </c>
      <c r="P4" t="inlineStr">
        <is>
          <t>Reviewer business use case</t>
        </is>
      </c>
    </row>
    <row r="5">
      <c r="A5" t="inlineStr">
        <is>
          <t>Planner A tuned</t>
        </is>
      </c>
      <c r="B5" t="inlineStr">
        <is>
          <t>simple</t>
        </is>
      </c>
      <c r="C5" s="2" t="n">
        <v>1</v>
      </c>
      <c r="D5" s="2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daily_users</t>
        </is>
      </c>
      <c r="M5" s="2" t="n">
        <v>2</v>
      </c>
      <c r="N5" s="2" t="n">
        <v>10</v>
      </c>
      <c r="O5" t="inlineStr">
        <is>
          <t>planner-1</t>
        </is>
      </c>
      <c r="P5" t="inlineStr">
        <is>
          <t>Plans complex requests</t>
        </is>
      </c>
    </row>
  </sheetData>
  <autoFilter ref="A1:P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planner</t>
        </is>
      </c>
      <c r="B2" t="inlineStr">
        <is>
          <t>Planner group</t>
        </is>
      </c>
      <c r="C2" t="inlineStr">
        <is>
          <t>planner-2</t>
        </is>
      </c>
      <c r="D2" t="inlineStr">
        <is>
          <t>Planner B</t>
        </is>
      </c>
      <c r="E2" t="inlineStr">
        <is>
          <t>Planner B business use case</t>
        </is>
      </c>
    </row>
    <row r="3">
      <c r="A3" t="inlineStr">
        <is>
          <t>research</t>
        </is>
      </c>
      <c r="B3" t="inlineStr">
        <is>
          <t>Research</t>
        </is>
      </c>
      <c r="C3" t="inlineStr">
        <is>
          <t>research-1</t>
        </is>
      </c>
      <c r="D3" t="inlineStr">
        <is>
          <t>Research</t>
        </is>
      </c>
      <c r="E3" t="inlineStr">
        <is>
          <t>Research business use case</t>
        </is>
      </c>
    </row>
    <row r="4">
      <c r="A4" t="inlineStr">
        <is>
          <t>reviewer</t>
        </is>
      </c>
      <c r="B4" t="inlineStr">
        <is>
          <t>Reviewer</t>
        </is>
      </c>
      <c r="C4" t="inlineStr">
        <is>
          <t>reviewer-1</t>
        </is>
      </c>
      <c r="D4" t="inlineStr">
        <is>
          <t>Reviewer</t>
        </is>
      </c>
      <c r="E4" t="inlineStr">
        <is>
          <t>Reviewer business use case</t>
        </is>
      </c>
    </row>
    <row r="5">
      <c r="A5" t="inlineStr">
        <is>
          <t>3508dfc9-2d4e-4683-aafa-1baad1cf2985</t>
        </is>
      </c>
      <c r="B5" t="inlineStr">
        <is>
          <t>Planner A tuned</t>
        </is>
      </c>
      <c r="C5" t="inlineStr">
        <is>
          <t>planner-1</t>
        </is>
      </c>
      <c r="D5" t="inlineStr">
        <is>
          <t>Planner A tuned</t>
        </is>
      </c>
      <c r="E5" t="inlineStr">
        <is>
          <t>Plans complex requests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Planner group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</v>
      </c>
      <c r="F2" s="2" t="n">
        <v>10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planner</t>
        </is>
      </c>
    </row>
    <row r="3">
      <c r="A3" t="inlineStr">
        <is>
          <t>Research</t>
        </is>
      </c>
      <c r="B3" t="inlineStr">
        <is>
          <t>simple</t>
        </is>
      </c>
      <c r="C3" s="2" t="n">
        <v>1</v>
      </c>
      <c r="D3" t="inlineStr">
        <is>
          <t>derived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 t="n">
        <v>450</v>
      </c>
      <c r="J3" s="2">
        <f>C3*I3</f>
        <v/>
      </c>
      <c r="K3" t="inlineStr">
        <is>
          <t>research</t>
        </is>
      </c>
      <c r="L3" t="inlineStr">
        <is>
          <t>daily_users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t="inlineStr">
        <is>
          <t>derived</t>
        </is>
      </c>
      <c r="E4" s="2" t="n">
        <v>0</v>
      </c>
      <c r="F4" s="2" t="n">
        <v>0</v>
      </c>
      <c r="G4" s="2" t="n">
        <v>30</v>
      </c>
      <c r="H4" s="2" t="n">
        <v>0</v>
      </c>
      <c r="I4" s="2" t="n">
        <v>180</v>
      </c>
      <c r="J4" s="2">
        <f>C4*I4</f>
        <v/>
      </c>
      <c r="K4" t="inlineStr">
        <is>
          <t>reviewer</t>
        </is>
      </c>
      <c r="L4" t="inlineStr">
        <is>
          <t>daily_users</t>
        </is>
      </c>
    </row>
    <row r="5">
      <c r="A5" t="inlineStr">
        <is>
          <t>Planner A tuned</t>
        </is>
      </c>
      <c r="B5" t="inlineStr">
        <is>
          <t>simple</t>
        </is>
      </c>
      <c r="C5" s="2" t="n">
        <v>1</v>
      </c>
      <c r="D5" t="inlineStr">
        <is>
          <t>daily_users</t>
        </is>
      </c>
      <c r="E5" s="2" t="n">
        <v>2</v>
      </c>
      <c r="F5" s="2" t="n">
        <v>10</v>
      </c>
      <c r="G5" s="2" t="n">
        <v>30</v>
      </c>
      <c r="H5" s="2" t="n">
        <v>0</v>
      </c>
      <c r="I5" s="2">
        <f>IF(D5="daily_users",E5*F5*G5,H5)</f>
        <v/>
      </c>
      <c r="J5" s="2">
        <f>C5*I5</f>
        <v/>
      </c>
      <c r="K5" t="inlineStr">
        <is>
          <t>3508dfc9-2d4e-4683-aafa-1baad1cf2985</t>
        </is>
      </c>
    </row>
  </sheetData>
  <autoFilter ref="A1:L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Exclusive branch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Research</t>
        </is>
      </c>
      <c r="D2" t="inlineStr"/>
      <c r="E2" s="2" t="n">
        <v>0.5</v>
      </c>
      <c r="F2" s="2" t="n">
        <v>1</v>
      </c>
      <c r="G2" s="2" t="n">
        <v>300</v>
      </c>
      <c r="H2" s="2">
        <f>E2*F2*G2*M2</f>
        <v/>
      </c>
      <c r="I2" t="inlineStr">
        <is>
          <t>Complete</t>
        </is>
      </c>
      <c r="J2" t="inlineStr">
        <is>
          <t>planner-research</t>
        </is>
      </c>
      <c r="K2" t="inlineStr">
        <is>
          <t>planner</t>
        </is>
      </c>
      <c r="L2" t="inlineStr">
        <is>
          <t>research</t>
        </is>
      </c>
      <c r="M2" s="2" t="n">
        <v>1</v>
      </c>
    </row>
    <row r="3">
      <c r="A3" t="inlineStr">
        <is>
          <t>Low</t>
        </is>
      </c>
      <c r="B3" t="inlineStr">
        <is>
          <t>Research</t>
        </is>
      </c>
      <c r="C3" t="inlineStr">
        <is>
          <t>Reviewer</t>
        </is>
      </c>
      <c r="D3" t="inlineStr"/>
      <c r="E3" s="2" t="n">
        <v>0.4</v>
      </c>
      <c r="F3" s="2" t="n">
        <v>1</v>
      </c>
      <c r="G3" s="2" t="n">
        <v>450</v>
      </c>
      <c r="H3" s="2">
        <f>E3*F3*G3*M3</f>
        <v/>
      </c>
      <c r="I3" t="inlineStr">
        <is>
          <t>Complete</t>
        </is>
      </c>
      <c r="J3" t="inlineStr">
        <is>
          <t>research-reviewer</t>
        </is>
      </c>
      <c r="K3" t="inlineStr">
        <is>
          <t>research</t>
        </is>
      </c>
      <c r="L3" t="inlineStr">
        <is>
          <t>reviewer</t>
        </is>
      </c>
      <c r="M3" s="2" t="n">
        <v>1</v>
      </c>
    </row>
    <row r="4">
      <c r="A4" t="inlineStr">
        <is>
          <t>Low</t>
        </is>
      </c>
      <c r="B4" t="inlineStr">
        <is>
          <t>Planner A tuned</t>
        </is>
      </c>
      <c r="C4" t="inlineStr">
        <is>
          <t>Research</t>
        </is>
      </c>
      <c r="D4" t="inlineStr"/>
      <c r="E4" s="2" t="n">
        <v>0.5</v>
      </c>
      <c r="F4" s="2" t="n">
        <v>1</v>
      </c>
      <c r="G4" s="2" t="n">
        <v>600</v>
      </c>
      <c r="H4" s="2">
        <f>E4*F4*G4*M4</f>
        <v/>
      </c>
      <c r="I4" t="inlineStr">
        <is>
          <t>Complete</t>
        </is>
      </c>
      <c r="J4" t="inlineStr">
        <is>
          <t>2be0e62d-18ce-4cbe-a54a-9244ed48dbcb</t>
        </is>
      </c>
      <c r="K4" t="inlineStr">
        <is>
          <t>3508dfc9-2d4e-4683-aafa-1baad1cf2985</t>
        </is>
      </c>
      <c r="L4" t="inlineStr">
        <is>
          <t>research</t>
        </is>
      </c>
      <c r="M4" s="2" t="n">
        <v>1</v>
      </c>
    </row>
    <row r="5">
      <c r="A5" t="inlineStr">
        <is>
          <t>Expected</t>
        </is>
      </c>
      <c r="B5" t="inlineStr">
        <is>
          <t>Planner group</t>
        </is>
      </c>
      <c r="C5" t="inlineStr">
        <is>
          <t>Research</t>
        </is>
      </c>
      <c r="D5" t="inlineStr"/>
      <c r="E5" s="2" t="n">
        <v>0.5</v>
      </c>
      <c r="F5" s="2" t="n">
        <v>1</v>
      </c>
      <c r="G5" s="2" t="n">
        <v>300</v>
      </c>
      <c r="H5" s="2">
        <f>E5*F5*G5*M5</f>
        <v/>
      </c>
      <c r="I5" t="inlineStr">
        <is>
          <t>Complete</t>
        </is>
      </c>
      <c r="J5" t="inlineStr">
        <is>
          <t>planner-research</t>
        </is>
      </c>
      <c r="K5" t="inlineStr">
        <is>
          <t>planner</t>
        </is>
      </c>
      <c r="L5" t="inlineStr">
        <is>
          <t>research</t>
        </is>
      </c>
      <c r="M5" s="2" t="n">
        <v>1</v>
      </c>
    </row>
    <row r="6">
      <c r="A6" t="inlineStr">
        <is>
          <t>Expected</t>
        </is>
      </c>
      <c r="B6" t="inlineStr">
        <is>
          <t>Research</t>
        </is>
      </c>
      <c r="C6" t="inlineStr">
        <is>
          <t>Reviewer</t>
        </is>
      </c>
      <c r="D6" t="inlineStr"/>
      <c r="E6" s="2" t="n">
        <v>0.4</v>
      </c>
      <c r="F6" s="2" t="n">
        <v>1</v>
      </c>
      <c r="G6" s="2" t="n">
        <v>450</v>
      </c>
      <c r="H6" s="2">
        <f>E6*F6*G6*M6</f>
        <v/>
      </c>
      <c r="I6" t="inlineStr">
        <is>
          <t>Complete</t>
        </is>
      </c>
      <c r="J6" t="inlineStr">
        <is>
          <t>research-reviewer</t>
        </is>
      </c>
      <c r="K6" t="inlineStr">
        <is>
          <t>research</t>
        </is>
      </c>
      <c r="L6" t="inlineStr">
        <is>
          <t>reviewer</t>
        </is>
      </c>
      <c r="M6" s="2" t="n">
        <v>1</v>
      </c>
    </row>
    <row r="7">
      <c r="A7" t="inlineStr">
        <is>
          <t>Expected</t>
        </is>
      </c>
      <c r="B7" t="inlineStr">
        <is>
          <t>Planner A tuned</t>
        </is>
      </c>
      <c r="C7" t="inlineStr">
        <is>
          <t>Research</t>
        </is>
      </c>
      <c r="D7" t="inlineStr"/>
      <c r="E7" s="2" t="n">
        <v>0.5</v>
      </c>
      <c r="F7" s="2" t="n">
        <v>1</v>
      </c>
      <c r="G7" s="2" t="n">
        <v>600</v>
      </c>
      <c r="H7" s="2">
        <f>E7*F7*G7*M7</f>
        <v/>
      </c>
      <c r="I7" t="inlineStr">
        <is>
          <t>Complete</t>
        </is>
      </c>
      <c r="J7" t="inlineStr">
        <is>
          <t>2be0e62d-18ce-4cbe-a54a-9244ed48dbcb</t>
        </is>
      </c>
      <c r="K7" t="inlineStr">
        <is>
          <t>3508dfc9-2d4e-4683-aafa-1baad1cf2985</t>
        </is>
      </c>
      <c r="L7" t="inlineStr">
        <is>
          <t>research</t>
        </is>
      </c>
      <c r="M7" s="2" t="n">
        <v>1</v>
      </c>
    </row>
    <row r="8">
      <c r="A8" t="inlineStr">
        <is>
          <t>High</t>
        </is>
      </c>
      <c r="B8" t="inlineStr">
        <is>
          <t>Planner group</t>
        </is>
      </c>
      <c r="C8" t="inlineStr">
        <is>
          <t>Research</t>
        </is>
      </c>
      <c r="D8" t="inlineStr"/>
      <c r="E8" s="2" t="n">
        <v>0.5</v>
      </c>
      <c r="F8" s="2" t="n">
        <v>1</v>
      </c>
      <c r="G8" s="2" t="n">
        <v>300</v>
      </c>
      <c r="H8" s="2">
        <f>E8*F8*G8*M8</f>
        <v/>
      </c>
      <c r="I8" t="inlineStr">
        <is>
          <t>Complete</t>
        </is>
      </c>
      <c r="J8" t="inlineStr">
        <is>
          <t>planner-research</t>
        </is>
      </c>
      <c r="K8" t="inlineStr">
        <is>
          <t>planner</t>
        </is>
      </c>
      <c r="L8" t="inlineStr">
        <is>
          <t>research</t>
        </is>
      </c>
      <c r="M8" s="2" t="n">
        <v>1</v>
      </c>
    </row>
    <row r="9">
      <c r="A9" t="inlineStr">
        <is>
          <t>High</t>
        </is>
      </c>
      <c r="B9" t="inlineStr">
        <is>
          <t>Research</t>
        </is>
      </c>
      <c r="C9" t="inlineStr">
        <is>
          <t>Reviewer</t>
        </is>
      </c>
      <c r="D9" t="inlineStr"/>
      <c r="E9" s="2" t="n">
        <v>0.4</v>
      </c>
      <c r="F9" s="2" t="n">
        <v>1</v>
      </c>
      <c r="G9" s="2" t="n">
        <v>450</v>
      </c>
      <c r="H9" s="2">
        <f>E9*F9*G9*M9</f>
        <v/>
      </c>
      <c r="I9" t="inlineStr">
        <is>
          <t>Complete</t>
        </is>
      </c>
      <c r="J9" t="inlineStr">
        <is>
          <t>research-reviewer</t>
        </is>
      </c>
      <c r="K9" t="inlineStr">
        <is>
          <t>research</t>
        </is>
      </c>
      <c r="L9" t="inlineStr">
        <is>
          <t>reviewer</t>
        </is>
      </c>
      <c r="M9" s="2" t="n">
        <v>1</v>
      </c>
    </row>
    <row r="10">
      <c r="A10" t="inlineStr">
        <is>
          <t>High</t>
        </is>
      </c>
      <c r="B10" t="inlineStr">
        <is>
          <t>Planner A tuned</t>
        </is>
      </c>
      <c r="C10" t="inlineStr">
        <is>
          <t>Research</t>
        </is>
      </c>
      <c r="D10" t="inlineStr"/>
      <c r="E10" s="2" t="n">
        <v>0.5</v>
      </c>
      <c r="F10" s="2" t="n">
        <v>1</v>
      </c>
      <c r="G10" s="2" t="n">
        <v>600</v>
      </c>
      <c r="H10" s="2">
        <f>E10*F10*G10*M10</f>
        <v/>
      </c>
      <c r="I10" t="inlineStr">
        <is>
          <t>Complete</t>
        </is>
      </c>
      <c r="J10" t="inlineStr">
        <is>
          <t>2be0e62d-18ce-4cbe-a54a-9244ed48dbcb</t>
        </is>
      </c>
      <c r="K10" t="inlineStr">
        <is>
          <t>3508dfc9-2d4e-4683-aafa-1baad1cf2985</t>
        </is>
      </c>
      <c r="L10" t="inlineStr">
        <is>
          <t>research</t>
        </is>
      </c>
      <c r="M10" s="2" t="n">
        <v>1</v>
      </c>
    </row>
  </sheetData>
  <autoFilter ref="A1:M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1530</v>
      </c>
      <c r="F2" s="2" t="n">
        <v>0</v>
      </c>
      <c r="G2" s="2" t="n">
        <v>2130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1530</v>
      </c>
      <c r="F3" s="2" t="n">
        <v>0</v>
      </c>
      <c r="G3" s="2" t="n">
        <v>2130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1530</v>
      </c>
      <c r="F4" s="2" t="n">
        <v>0</v>
      </c>
      <c r="G4" s="2" t="n">
        <v>2130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Planner group</t>
        </is>
      </c>
      <c r="C2" t="inlineStr">
        <is>
          <t>Planner group</t>
        </is>
      </c>
      <c r="D2" s="2" t="n">
        <v>300</v>
      </c>
      <c r="E2" s="2" t="n">
        <v>0.0021</v>
      </c>
      <c r="F2" s="2" t="n">
        <v>0</v>
      </c>
      <c r="G2" s="2" t="n">
        <v>0.00357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Research</t>
        </is>
      </c>
      <c r="C3" t="inlineStr">
        <is>
          <t>Research</t>
        </is>
      </c>
      <c r="D3" s="2" t="n">
        <v>450</v>
      </c>
      <c r="E3" s="2" t="n">
        <v>0.0021</v>
      </c>
      <c r="F3" s="2" t="n">
        <v>0</v>
      </c>
      <c r="G3" s="2" t="n">
        <v>0.00294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Reviewer</t>
        </is>
      </c>
      <c r="C4" t="inlineStr">
        <is>
          <t>Reviewer</t>
        </is>
      </c>
      <c r="D4" s="2" t="n">
        <v>180</v>
      </c>
      <c r="E4" s="2" t="n">
        <v>0.0021</v>
      </c>
      <c r="F4" s="2" t="n">
        <v>0</v>
      </c>
      <c r="G4" s="2" t="n">
        <v>0.0021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Low</t>
        </is>
      </c>
      <c r="B5" t="inlineStr">
        <is>
          <t>Planner A tuned</t>
        </is>
      </c>
      <c r="C5" t="inlineStr">
        <is>
          <t>Plan support response</t>
        </is>
      </c>
      <c r="D5" s="2" t="n">
        <v>600</v>
      </c>
      <c r="E5" s="2" t="n">
        <v>0.00315</v>
      </c>
      <c r="F5" s="2" t="n">
        <v>0</v>
      </c>
      <c r="G5" s="2" t="n">
        <v>0.00462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Planner group</t>
        </is>
      </c>
      <c r="C6" t="inlineStr">
        <is>
          <t>Planner group</t>
        </is>
      </c>
      <c r="D6" s="2" t="n">
        <v>300</v>
      </c>
      <c r="E6" s="2" t="n">
        <v>0.0028</v>
      </c>
      <c r="F6" s="2" t="n">
        <v>0</v>
      </c>
      <c r="G6" s="2" t="n">
        <v>0.00476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Research</t>
        </is>
      </c>
      <c r="C7" t="inlineStr">
        <is>
          <t>Research</t>
        </is>
      </c>
      <c r="D7" s="2" t="n">
        <v>450</v>
      </c>
      <c r="E7" s="2" t="n">
        <v>0.0028</v>
      </c>
      <c r="F7" s="2" t="n">
        <v>0</v>
      </c>
      <c r="G7" s="2" t="n">
        <v>0.00392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  <row r="8">
      <c r="A8" t="inlineStr">
        <is>
          <t>Expected</t>
        </is>
      </c>
      <c r="B8" t="inlineStr">
        <is>
          <t>Reviewer</t>
        </is>
      </c>
      <c r="C8" t="inlineStr">
        <is>
          <t>Reviewer</t>
        </is>
      </c>
      <c r="D8" s="2" t="n">
        <v>180</v>
      </c>
      <c r="E8" s="2" t="n">
        <v>0.0028</v>
      </c>
      <c r="F8" s="2" t="n">
        <v>0</v>
      </c>
      <c r="G8" s="2" t="n">
        <v>0.0028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Expected</t>
        </is>
      </c>
      <c r="B9" t="inlineStr">
        <is>
          <t>Planner A tuned</t>
        </is>
      </c>
      <c r="C9" t="inlineStr">
        <is>
          <t>Plan support response</t>
        </is>
      </c>
      <c r="D9" s="2" t="n">
        <v>600</v>
      </c>
      <c r="E9" s="2" t="n">
        <v>0.0042</v>
      </c>
      <c r="F9" s="2" t="n">
        <v>0</v>
      </c>
      <c r="G9" s="2" t="n">
        <v>0.00616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Planner group</t>
        </is>
      </c>
      <c r="C10" t="inlineStr">
        <is>
          <t>Planner group</t>
        </is>
      </c>
      <c r="D10" s="2" t="n">
        <v>300</v>
      </c>
      <c r="E10" s="2" t="n">
        <v>0.0042</v>
      </c>
      <c r="F10" s="2" t="n">
        <v>0</v>
      </c>
      <c r="G10" s="2" t="n">
        <v>0.00714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  <row r="11">
      <c r="A11" t="inlineStr">
        <is>
          <t>High</t>
        </is>
      </c>
      <c r="B11" t="inlineStr">
        <is>
          <t>Research</t>
        </is>
      </c>
      <c r="C11" t="inlineStr">
        <is>
          <t>Research</t>
        </is>
      </c>
      <c r="D11" s="2" t="n">
        <v>450</v>
      </c>
      <c r="E11" s="2" t="n">
        <v>0.0042</v>
      </c>
      <c r="F11" s="2" t="n">
        <v>0</v>
      </c>
      <c r="G11" s="2" t="n">
        <v>0.00588</v>
      </c>
      <c r="H11" t="inlineStr">
        <is>
          <t>Complete</t>
        </is>
      </c>
      <c r="I11" t="inlineStr">
        <is>
          <t>Precomputed DAG rollup; inputs and direct calculations in other sheets</t>
        </is>
      </c>
    </row>
    <row r="12">
      <c r="A12" t="inlineStr">
        <is>
          <t>High</t>
        </is>
      </c>
      <c r="B12" t="inlineStr">
        <is>
          <t>Reviewer</t>
        </is>
      </c>
      <c r="C12" t="inlineStr">
        <is>
          <t>Reviewer</t>
        </is>
      </c>
      <c r="D12" s="2" t="n">
        <v>180</v>
      </c>
      <c r="E12" s="2" t="n">
        <v>0.0042</v>
      </c>
      <c r="F12" s="2" t="n">
        <v>0</v>
      </c>
      <c r="G12" s="2" t="n">
        <v>0.0042</v>
      </c>
      <c r="H12" t="inlineStr">
        <is>
          <t>Complete</t>
        </is>
      </c>
      <c r="I12" t="inlineStr">
        <is>
          <t>Precomputed DAG rollup; inputs and direct calculations in other sheets</t>
        </is>
      </c>
    </row>
    <row r="13">
      <c r="A13" t="inlineStr">
        <is>
          <t>High</t>
        </is>
      </c>
      <c r="B13" t="inlineStr">
        <is>
          <t>Planner A tuned</t>
        </is>
      </c>
      <c r="C13" t="inlineStr">
        <is>
          <t>Plan support response</t>
        </is>
      </c>
      <c r="D13" s="2" t="n">
        <v>600</v>
      </c>
      <c r="E13" s="2" t="n">
        <v>0.0063</v>
      </c>
      <c r="F13" s="2" t="n">
        <v>0</v>
      </c>
      <c r="G13" s="2" t="n">
        <v>0.00924</v>
      </c>
      <c r="H13" t="inlineStr">
        <is>
          <t>Complete</t>
        </is>
      </c>
      <c r="I13" t="inlineStr">
        <is>
          <t>Precomputed DAG rollup; inputs and direct calculations in other sheets</t>
        </is>
      </c>
    </row>
  </sheetData>
  <autoFilter ref="A1:I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SUMIF(Volume!B2:B5,A2,Volume!J2:J5)</f>
        <v/>
      </c>
    </row>
    <row r="3">
      <c r="A3" t="inlineStr">
        <is>
          <t>medium</t>
        </is>
      </c>
      <c r="B3" s="2">
        <f>SUMIF(Volume!B2:B5,A3,Volume!J2:J5)</f>
        <v/>
      </c>
    </row>
    <row r="4">
      <c r="A4" t="inlineStr">
        <is>
          <t>high</t>
        </is>
      </c>
      <c r="B4" s="2">
        <f>SUMIF(Volume!B2:B5,A4,Volume!J2:J5)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SUMIFS(Calculations!R2:R16,Calculations!A2:A16,"Expected",Calculations!AF2:AF16,A2)</f>
        <v/>
      </c>
      <c r="C2" s="2">
        <f>SUMIFS(Calculations!S2:S16,Calculations!A2:A16,"Expected",Calculations!AF2:AF16,A2)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SUMIFS(Calculations!R2:R16,Calculations!A2:A16,"Expected",Calculations!AF2:AF16,A3)</f>
        <v/>
      </c>
      <c r="C3" s="2">
        <f>SUMIFS(Calculations!S2:S16,Calculations!A2:A16,"Expected",Calculations!AF2:AF16,A3)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SUMIFS(Calculations!R2:R16,Calculations!A2:A16,"Expected",Calculations!AF2:AF16,A4)</f>
        <v/>
      </c>
      <c r="C4" s="2">
        <f>SUMIFS(Calculations!S2:S16,Calculations!A2:A16,"Expected",Calculations!AF2:AF16,A4)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SUMIFS(Calculations!AG2:AG16,Calculations!A2:A16,"Expected",Calculations!AF2:AF16,A2)</f>
        <v/>
      </c>
      <c r="D2" s="2">
        <f>SUMIFS(Calculations!T2:T16,Calculations!A2:A16,"Expected",Calculations!AF2:AF16,A2)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SUMIFS(Calculations!AH2:AH16,Calculations!A2:A16,"Expected",Calculations!AF2:AF16,A3)</f>
        <v/>
      </c>
      <c r="D3" s="2">
        <f>SUMIFS(Calculations!V2:V16,Calculations!A2:A16,"Expected",Calculations!AF2:AF16,A3)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SUMIFS(Calculations!AI2:AI16,Calculations!A2:A16,"Expected",Calculations!AF2:AF16,A4)</f>
        <v/>
      </c>
      <c r="D4" s="2">
        <f>SUMIFS(Calculations!W2:W16,Calculations!A2:A16,"Expected",Calculations!AF2:AF16,A4)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SUMIFS(Calculations!S2:S16,Calculations!A2:A16,"Expected",Calculations!AF2:AF16,A5)</f>
        <v/>
      </c>
      <c r="D5" s="2">
        <f>SUMIFS(Calculations!U2:U16,Calculations!A2:A16,"Expected",Calculations!AF2:AF16,A5)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SUMIFS(Calculations!AG2:AG16,Calculations!A2:A16,"Expected",Calculations!AF2:AF16,A7)</f>
        <v/>
      </c>
      <c r="D7" s="2">
        <f>SUMIFS(Calculations!T2:T16,Calculations!A2:A16,"Expected",Calculations!AF2:AF16,A7)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SUMIFS(Calculations!AH2:AH16,Calculations!A2:A16,"Expected",Calculations!AF2:AF16,A8)</f>
        <v/>
      </c>
      <c r="D8" s="2">
        <f>SUMIFS(Calculations!V2:V16,Calculations!A2:A16,"Expected",Calculations!AF2:AF16,A8)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SUMIFS(Calculations!AI2:AI16,Calculations!A2:A16,"Expected",Calculations!AF2:AF16,A9)</f>
        <v/>
      </c>
      <c r="D9" s="2">
        <f>SUMIFS(Calculations!W2:W16,Calculations!A2:A16,"Expected",Calculations!AF2:AF16,A9)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SUMIFS(Calculations!S2:S16,Calculations!A2:A16,"Expected",Calculations!AF2:AF16,A10)</f>
        <v/>
      </c>
      <c r="D10" s="2">
        <f>SUMIFS(Calculations!U2:U16,Calculations!A2:A16,"Expected",Calculations!AF2:AF16,A10)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SUMIFS(Calculations!AG2:AG16,Calculations!A2:A16,"Expected",Calculations!AF2:AF16,A12)</f>
        <v/>
      </c>
      <c r="D12" s="2">
        <f>SUMIFS(Calculations!T2:T16,Calculations!A2:A16,"Expected",Calculations!AF2:AF16,A12)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SUMIFS(Calculations!AH2:AH16,Calculations!A2:A16,"Expected",Calculations!AF2:AF16,A13)</f>
        <v/>
      </c>
      <c r="D13" s="2">
        <f>SUMIFS(Calculations!V2:V16,Calculations!A2:A16,"Expected",Calculations!AF2:AF16,A13)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SUMIFS(Calculations!AI2:AI16,Calculations!A2:A16,"Expected",Calculations!AF2:AF16,A14)</f>
        <v/>
      </c>
      <c r="D14" s="2">
        <f>SUMIFS(Calculations!W2:W16,Calculations!A2:A16,"Expected",Calculations!AF2:AF16,A14)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SUMIFS(Calculations!S2:S16,Calculations!A2:A16,"Expected",Calculations!AF2:AF16,A15)</f>
        <v/>
      </c>
      <c r="D15" s="2">
        <f>SUMIFS(Calculations!U2:U16,Calculations!A2:A16,"Expected",Calculations!AF2:AF16,A15)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SUMIFS(Calculations!R2:R16,Calculations!A2:A16,A2)</f>
        <v/>
      </c>
      <c r="C2" s="2">
        <f>SUMIFS(Calculations!T2:T16,Calculations!A2:A16,A2)+SUMIFS(Calculations!V2:V16,Calculations!A2:A16,A2)+SUMIFS(Calculations!W2:W16,Calculations!A2:A16,A2)</f>
        <v/>
      </c>
      <c r="D2" s="2">
        <f>SUMIFS(Calculations!S2:S16,Calculations!A2:A16,A2)</f>
        <v/>
      </c>
      <c r="E2" s="2">
        <f>SUMIFS(Calculations!U2:U16,Calculations!A2:A16,A2)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SUMIFS(Calculations!R2:R16,Calculations!A2:A16,A3)</f>
        <v/>
      </c>
      <c r="C3" s="2">
        <f>SUMIFS(Calculations!T2:T16,Calculations!A2:A16,A3)+SUMIFS(Calculations!V2:V16,Calculations!A2:A16,A3)+SUMIFS(Calculations!W2:W16,Calculations!A2:A16,A3)</f>
        <v/>
      </c>
      <c r="D3" s="2">
        <f>SUMIFS(Calculations!S2:S16,Calculations!A2:A16,A3)</f>
        <v/>
      </c>
      <c r="E3" s="2">
        <f>SUMIFS(Calculations!U2:U16,Calculations!A2:A16,A3)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SUMIFS(Calculations!R2:R16,Calculations!A2:A16,A4)</f>
        <v/>
      </c>
      <c r="C4" s="2">
        <f>SUMIFS(Calculations!T2:T16,Calculations!A2:A16,A4)+SUMIFS(Calculations!V2:V16,Calculations!A2:A16,A4)+SUMIFS(Calculations!W2:W16,Calculations!A2:A16,A4)</f>
        <v/>
      </c>
      <c r="D4" s="2">
        <f>SUMIFS(Calculations!S2:S16,Calculations!A2:A16,A4)</f>
        <v/>
      </c>
      <c r="E4" s="2">
        <f>SUMIFS(Calculations!U2:U16,Calculations!A2:A16,A4)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model</t>
        </is>
      </c>
      <c r="B2" t="inlineStr">
        <is>
          <t>Synthetic fixture</t>
        </is>
      </c>
      <c r="C2" s="2" t="n">
        <v>2</v>
      </c>
      <c r="D2" s="2" t="n">
        <v>8</v>
      </c>
      <c r="G2" t="inlineStr">
        <is>
          <t>Versioned E2E fixture</t>
        </is>
      </c>
      <c r="H2" t="inlineStr">
        <is>
          <t>2026-10-04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Fixture review model</t>
        </is>
      </c>
      <c r="B3" t="inlineStr">
        <is>
          <t>Synthetic fixture</t>
        </is>
      </c>
      <c r="C3" s="2" t="n">
        <v>1</v>
      </c>
      <c r="D3" s="2" t="n">
        <v>4</v>
      </c>
      <c r="G3" t="inlineStr">
        <is>
          <t>Versioned E2E fixture</t>
        </is>
      </c>
      <c r="H3" t="inlineStr">
        <is>
          <t>2026-10-04</t>
        </is>
      </c>
      <c r="I3" s="2" t="b">
        <v>1</v>
      </c>
      <c r="J3" t="inlineStr"/>
      <c r="K3" t="inlineStr"/>
      <c r="L3" t="inlineStr">
        <is>
          <t>vendor_api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  <row r="4">
      <c r="A4" t="inlineStr">
        <is>
          <t>Fixture unpriced model</t>
        </is>
      </c>
      <c r="B4" t="inlineStr">
        <is>
          <t>Synthetic fixture</t>
        </is>
      </c>
      <c r="G4" t="inlineStr">
        <is>
          <t>Versioned E2E fixture</t>
        </is>
      </c>
      <c r="H4" t="inlineStr">
        <is>
          <t>2026-10-04</t>
        </is>
      </c>
      <c r="I4" s="2" t="b">
        <v>1</v>
      </c>
      <c r="J4" t="inlineStr"/>
      <c r="K4" t="inlineStr"/>
      <c r="L4" t="inlineStr">
        <is>
          <t>vendor_api</t>
        </is>
      </c>
      <c r="M4" t="inlineStr"/>
      <c r="N4" t="inlineStr"/>
      <c r="O4" t="inlineStr">
        <is>
          <t>USD</t>
        </is>
      </c>
      <c r="P4" s="2" t="n">
        <v>1</v>
      </c>
      <c r="Q4" t="inlineStr"/>
      <c r="R4" t="inlineStr"/>
    </row>
  </sheetData>
  <autoFilter ref="A1:R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Inventory journey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2026-10-05T02:35:13Z</dcterms:created>
  <dcterms:modified xsi:type="dcterms:W3CDTF">2026-10-05T02:35:13Z</dcterms:modified>
</cp:coreProperties>
</file>