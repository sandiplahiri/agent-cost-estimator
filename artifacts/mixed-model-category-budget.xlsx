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Category totals" sheetId="5" state="visible" r:id="rId5"/>
    <sheet name="Category usage" sheetId="6" state="visible" r:id="rId6"/>
    <sheet name="Category costs" sheetId="7" state="visible" r:id="rId7"/>
    <sheet name="Monthly category summary" sheetId="8" state="visible" r:id="rId8"/>
    <sheet name="Profiles" sheetId="9" state="visible" r:id="rId9"/>
    <sheet name="Scenarios" sheetId="10" state="visible" r:id="rId10"/>
    <sheet name="Additional costs" sheetId="11" state="visible" r:id="rId11"/>
    <sheet name="Pricing" sheetId="12" state="visible" r:id="rId12"/>
    <sheet name="Read me" sheetId="13" state="visible" r:id="rId13"/>
  </sheets>
  <definedNames>
    <definedName name="_xlnm._FilterDatabase" localSheetId="0" hidden="1">'Summary'!$A$1:$H$4</definedName>
    <definedName name="_xlnm._FilterDatabase" localSheetId="1" hidden="1">'Calculations'!$A$1:$AI$7</definedName>
    <definedName name="_xlnm._FilterDatabase" localSheetId="2" hidden="1">'Agents'!$A$1:$N$3</definedName>
    <definedName name="_xlnm._FilterDatabase" localSheetId="3" hidden="1">'Volume'!$A$1:$J$3</definedName>
    <definedName name="_xlnm._FilterDatabase" localSheetId="4" hidden="1">'Category totals'!$A$1:$B$4</definedName>
    <definedName name="_xlnm._FilterDatabase" localSheetId="5" hidden="1">'Category usage'!$A$1:$F$4</definedName>
    <definedName name="_xlnm._FilterDatabase" localSheetId="6" hidden="1">'Category costs'!$A$1:$I$16</definedName>
    <definedName name="_xlnm._FilterDatabase" localSheetId="7" hidden="1">'Monthly category summary'!$A$1:$H$5</definedName>
    <definedName name="_xlnm._FilterDatabase" localSheetId="8" hidden="1">'Profiles'!$A$1:$H$4</definedName>
    <definedName name="_xlnm._FilterDatabase" localSheetId="9" hidden="1">'Scenarios'!$A$1:$G$4</definedName>
    <definedName name="_xlnm._FilterDatabase" localSheetId="10" hidden="1">'Additional costs'!$A$1:$A$1</definedName>
    <definedName name="_xlnm._FilterDatabase" localSheetId="11" hidden="1">'Pricing'!$A$1:$K$3</definedName>
    <definedName name="_xlnm._FilterDatabase" localSheetId="12" hidden="1">'Read me'!$A$1:$B$16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SUM(Calculations!X2:X3)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SUM(Calculations!X4:X5)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SUM(Calculations!X6:X7)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</row>
    <row r="2">
      <c r="A2" t="inlineStr">
        <is>
          <t>Low</t>
        </is>
      </c>
      <c r="B2" t="inlineStr">
        <is>
          <t>Imported daily</t>
        </is>
      </c>
      <c r="C2" t="inlineStr">
        <is>
          <t>Aggregate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</row>
    <row r="3">
      <c r="A3" t="inlineStr">
        <is>
          <t>Low</t>
        </is>
      </c>
      <c r="B3" t="inlineStr">
        <is>
          <t>Another simple group</t>
        </is>
      </c>
      <c r="C3" t="inlineStr">
        <is>
          <t>Aggregate</t>
        </is>
      </c>
      <c r="D3" t="inlineStr">
        <is>
          <t>Fixture B</t>
        </is>
      </c>
      <c r="E3" s="2" t="n">
        <v>2</v>
      </c>
      <c r="F3" s="2">
        <f>IF(Z3="daily_users",AA3*AB3*AC3,AD3)*AE3</f>
        <v/>
      </c>
      <c r="G3" s="2" t="n">
        <v>1</v>
      </c>
      <c r="H3" s="2" t="n">
        <v>0.02</v>
      </c>
      <c r="I3" s="2" t="n">
        <v>1500</v>
      </c>
      <c r="J3" s="2" t="n">
        <v>375</v>
      </c>
      <c r="K3" s="2" t="n">
        <v>0</v>
      </c>
      <c r="L3" s="2" t="n">
        <v>0</v>
      </c>
      <c r="M3" s="2" t="n">
        <v>4</v>
      </c>
      <c r="N3" s="2" t="n">
        <v>10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</row>
    <row r="4">
      <c r="A4" t="inlineStr">
        <is>
          <t>Expected</t>
        </is>
      </c>
      <c r="B4" t="inlineStr">
        <is>
          <t>Imported daily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 t="n">
        <v>1</v>
      </c>
      <c r="H4" s="2" t="n">
        <v>0.02</v>
      </c>
      <c r="I4" s="2" t="n">
        <v>2000</v>
      </c>
      <c r="J4" s="2" t="n">
        <v>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2</v>
      </c>
      <c r="AB4" s="2" t="n">
        <v>3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</row>
    <row r="5">
      <c r="A5" t="inlineStr">
        <is>
          <t>Expected</t>
        </is>
      </c>
      <c r="B5" t="inlineStr">
        <is>
          <t>Another simple group</t>
        </is>
      </c>
      <c r="C5" t="inlineStr">
        <is>
          <t>Aggregate</t>
        </is>
      </c>
      <c r="D5" t="inlineStr">
        <is>
          <t>Fixture B</t>
        </is>
      </c>
      <c r="E5" s="2" t="n">
        <v>2</v>
      </c>
      <c r="F5" s="2">
        <f>IF(Z5="daily_users",AA5*AB5*AC5,AD5)*AE5</f>
        <v/>
      </c>
      <c r="G5" s="2" t="n">
        <v>1</v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4</v>
      </c>
      <c r="N5" s="2" t="n">
        <v>10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</row>
    <row r="6">
      <c r="A6" t="inlineStr">
        <is>
          <t>High</t>
        </is>
      </c>
      <c r="B6" t="inlineStr">
        <is>
          <t>Imported daily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 t="n">
        <v>1</v>
      </c>
      <c r="H6" s="2" t="n">
        <v>0.02</v>
      </c>
      <c r="I6" s="2" t="n">
        <v>3000</v>
      </c>
      <c r="J6" s="2" t="n">
        <v>750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2</v>
      </c>
      <c r="AB6" s="2" t="n">
        <v>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</row>
    <row r="7">
      <c r="A7" t="inlineStr">
        <is>
          <t>High</t>
        </is>
      </c>
      <c r="B7" t="inlineStr">
        <is>
          <t>Another simple group</t>
        </is>
      </c>
      <c r="C7" t="inlineStr">
        <is>
          <t>Aggregate</t>
        </is>
      </c>
      <c r="D7" t="inlineStr">
        <is>
          <t>Fixture B</t>
        </is>
      </c>
      <c r="E7" s="2" t="n">
        <v>2</v>
      </c>
      <c r="F7" s="2">
        <f>IF(Z7="daily_users",AA7*AB7*AC7,AD7)*AE7</f>
        <v/>
      </c>
      <c r="G7" s="2" t="n">
        <v>1</v>
      </c>
      <c r="H7" s="2" t="n">
        <v>0.02</v>
      </c>
      <c r="I7" s="2" t="n">
        <v>3000</v>
      </c>
      <c r="J7" s="2" t="n">
        <v>750</v>
      </c>
      <c r="K7" s="2" t="n">
        <v>0</v>
      </c>
      <c r="L7" s="2" t="n">
        <v>0</v>
      </c>
      <c r="M7" s="2" t="n">
        <v>4</v>
      </c>
      <c r="N7" s="2" t="n">
        <v>10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</row>
  </sheetData>
  <autoFilter ref="A1:A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Imported daily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</row>
    <row r="3">
      <c r="A3" t="inlineStr">
        <is>
          <t>Another simple group</t>
        </is>
      </c>
      <c r="B3" t="inlineStr">
        <is>
          <t>simple</t>
        </is>
      </c>
      <c r="C3" s="2" t="n">
        <v>2</v>
      </c>
      <c r="D3" s="2" t="n">
        <v>0</v>
      </c>
      <c r="E3" t="inlineStr">
        <is>
          <t>Fixture B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1</v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</row>
    <row r="2">
      <c r="A2" t="inlineStr">
        <is>
          <t>Imported daily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</row>
    <row r="3">
      <c r="A3" t="inlineStr">
        <is>
          <t>Another simple group</t>
        </is>
      </c>
      <c r="B3" t="inlineStr">
        <is>
          <t>simple</t>
        </is>
      </c>
      <c r="C3" s="2" t="n">
        <v>2</v>
      </c>
      <c r="D3" t="inlineStr">
        <is>
          <t>daily_users</t>
        </is>
      </c>
      <c r="E3" s="2" t="n">
        <v>1</v>
      </c>
      <c r="F3" s="2" t="n">
        <v>1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</row>
  </sheetData>
  <autoFilter ref="A1:J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SUMIFS(Calculations!R2:R7,Calculations!A2:A7,"Expected",Calculations!AF2:AF7,A2)</f>
        <v/>
      </c>
      <c r="C2" s="2">
        <f>SUMIFS(Calculations!S2:S7,Calculations!A2:A7,"Expected",Calculations!AF2:AF7,A2)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SUMIFS(Calculations!R2:R7,Calculations!A2:A7,"Expected",Calculations!AF2:AF7,A3)</f>
        <v/>
      </c>
      <c r="C3" s="2">
        <f>SUMIFS(Calculations!S2:S7,Calculations!A2:A7,"Expected",Calculations!AF2:AF7,A3)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SUMIFS(Calculations!R2:R7,Calculations!A2:A7,"Expected",Calculations!AF2:AF7,A4)</f>
        <v/>
      </c>
      <c r="C4" s="2">
        <f>SUMIFS(Calculations!S2:S7,Calculations!A2:A7,"Expected",Calculations!AF2:AF7,A4)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SUMIFS(Calculations!AG2:AG7,Calculations!A2:A7,"Expected",Calculations!AF2:AF7,A2)</f>
        <v/>
      </c>
      <c r="D2" s="2">
        <f>SUMIFS(Calculations!T2:T7,Calculations!A2:A7,"Expected",Calculations!AF2:AF7,A2)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SUMIFS(Calculations!AH2:AH7,Calculations!A2:A7,"Expected",Calculations!AF2:AF7,A3)</f>
        <v/>
      </c>
      <c r="D3" s="2">
        <f>SUMIFS(Calculations!V2:V7,Calculations!A2:A7,"Expected",Calculations!AF2:AF7,A3)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SUMIFS(Calculations!AI2:AI7,Calculations!A2:A7,"Expected",Calculations!AF2:AF7,A4)</f>
        <v/>
      </c>
      <c r="D4" s="2">
        <f>SUMIFS(Calculations!W2:W7,Calculations!A2:A7,"Expected",Calculations!AF2:AF7,A4)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SUMIFS(Calculations!S2:S7,Calculations!A2:A7,"Expected",Calculations!AF2:AF7,A5)</f>
        <v/>
      </c>
      <c r="D5" s="2">
        <f>SUMIFS(Calculations!U2:U7,Calculations!A2:A7,"Expected",Calculations!AF2:AF7,A5)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SUMIFS(Calculations!AG2:AG7,Calculations!A2:A7,"Expected",Calculations!AF2:AF7,A7)</f>
        <v/>
      </c>
      <c r="D7" s="2">
        <f>SUMIFS(Calculations!T2:T7,Calculations!A2:A7,"Expected",Calculations!AF2:AF7,A7)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SUMIFS(Calculations!AH2:AH7,Calculations!A2:A7,"Expected",Calculations!AF2:AF7,A8)</f>
        <v/>
      </c>
      <c r="D8" s="2">
        <f>SUMIFS(Calculations!V2:V7,Calculations!A2:A7,"Expected",Calculations!AF2:AF7,A8)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SUMIFS(Calculations!AI2:AI7,Calculations!A2:A7,"Expected",Calculations!AF2:AF7,A9)</f>
        <v/>
      </c>
      <c r="D9" s="2">
        <f>SUMIFS(Calculations!W2:W7,Calculations!A2:A7,"Expected",Calculations!AF2:AF7,A9)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SUMIFS(Calculations!S2:S7,Calculations!A2:A7,"Expected",Calculations!AF2:AF7,A10)</f>
        <v/>
      </c>
      <c r="D10" s="2">
        <f>SUMIFS(Calculations!U2:U7,Calculations!A2:A7,"Expected",Calculations!AF2:AF7,A10)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SUMIFS(Calculations!AG2:AG7,Calculations!A2:A7,"Expected",Calculations!AF2:AF7,A12)</f>
        <v/>
      </c>
      <c r="D12" s="2">
        <f>SUMIFS(Calculations!T2:T7,Calculations!A2:A7,"Expected",Calculations!AF2:AF7,A12)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SUMIFS(Calculations!AH2:AH7,Calculations!A2:A7,"Expected",Calculations!AF2:AF7,A13)</f>
        <v/>
      </c>
      <c r="D13" s="2">
        <f>SUMIFS(Calculations!V2:V7,Calculations!A2:A7,"Expected",Calculations!AF2:AF7,A13)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SUMIFS(Calculations!AI2:AI7,Calculations!A2:A7,"Expected",Calculations!AF2:AF7,A14)</f>
        <v/>
      </c>
      <c r="D14" s="2">
        <f>SUMIFS(Calculations!W2:W7,Calculations!A2:A7,"Expected",Calculations!AF2:AF7,A14)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SUMIFS(Calculations!S2:S7,Calculations!A2:A7,"Expected",Calculations!AF2:AF7,A15)</f>
        <v/>
      </c>
      <c r="D15" s="2">
        <f>SUMIFS(Calculations!U2:U7,Calculations!A2:A7,"Expected",Calculations!AF2:AF7,A15)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>
        <is>
          <t>Fixture A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>
        <is>
          <t>Fixture A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>
        <is>
          <t>Fixture A</t>
        </is>
      </c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2026-10-01T20:02:22.060Z</t>
        </is>
      </c>
      <c r="I2" s="2" t="b">
        <v>1</v>
      </c>
      <c r="J2" t="inlineStr"/>
      <c r="K2" t="inlineStr"/>
    </row>
    <row r="3">
      <c r="A3" t="inlineStr">
        <is>
          <t>Fixture B</t>
        </is>
      </c>
      <c r="B3" t="inlineStr">
        <is>
          <t>Custom</t>
        </is>
      </c>
      <c r="C3" s="2" t="n">
        <v>4</v>
      </c>
      <c r="D3" s="2" t="n">
        <v>10</v>
      </c>
      <c r="G3" t="inlineStr">
        <is>
          <t>Architect-supplied custom rates</t>
        </is>
      </c>
      <c r="H3" t="inlineStr">
        <is>
          <t>2026-10-01T20:02:26.342Z</t>
        </is>
      </c>
      <c r="I3" s="2" t="b">
        <v>1</v>
      </c>
      <c r="J3" t="inlineStr"/>
      <c r="K3" t="inlineStr"/>
    </row>
  </sheetData>
  <autoFilter ref="A1:K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Column F derives scenario monthly volume from columns Z–AE; daily mode uses a 30-day planning month.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baseline monthly invocations per agent and all agents from the exported inventory. Category totals sums the Volume sheet by complexity. These totals exclude scenario volume multipliers; Calculations contains scenario-effective volumes.</t>
        </is>
      </c>
    </row>
    <row r="7">
      <c r="A7" t="inlineStr">
        <is>
          <t>Category token usage</t>
        </is>
      </c>
      <c r="B7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8">
      <c r="A8" t="inlineStr">
        <is>
          <t>Category token costs</t>
        </is>
      </c>
      <c r="B8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9">
      <c r="A9" t="inlineStr">
        <is>
          <t>Monthly category summary</t>
        </is>
      </c>
      <c r="B9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0">
      <c r="A10" t="inlineStr">
        <is>
          <t>Tier rates</t>
        </is>
      </c>
      <c r="B10" t="inlineStr">
        <is>
          <t>Rates in Calculations are selected using the exported per-call input size. After crossing a tier threshold, update the applicable rates from Pricing or re-export from the app.</t>
        </is>
      </c>
    </row>
    <row r="11">
      <c r="A11" t="inlineStr">
        <is>
          <t>Partial totals</t>
        </is>
      </c>
      <c r="B11" t="inlineStr">
        <is>
          <t>Incomplete rows have blank costs; summaries are known subtotals, not full budgets.</t>
        </is>
      </c>
    </row>
    <row r="12">
      <c r="A12" t="inlineStr">
        <is>
          <t>Annualization</t>
        </is>
      </c>
      <c r="B12" t="inlineStr">
        <is>
          <t>First year = 12 identical recurring months + one-time items. Additional monthly/one-time values in Summary are editable frozen inputs.</t>
        </is>
      </c>
    </row>
    <row r="13">
      <c r="A13" t="inlineStr">
        <is>
          <t>Scope</t>
        </is>
      </c>
      <c r="B13" t="inlineStr">
        <is>
          <t>Text tokens, including total billable reasoning in output. Cache writes use supplied rates. Tools, cache storage, multimodal charges require additional items/custom rates.</t>
        </is>
      </c>
    </row>
    <row r="14">
      <c r="A14" t="inlineStr">
        <is>
          <t>Scenarios</t>
        </is>
      </c>
      <c r="B14" t="inlineStr">
        <is>
          <t>Planning assumptions, not statistical confidence intervals. Execution fields in Calculations are scenario-effective values.</t>
        </is>
      </c>
    </row>
    <row r="15">
      <c r="A15" t="inlineStr">
        <is>
          <t>Detailed workflows</t>
        </is>
      </c>
      <c r="B15" t="inlineStr">
        <is>
          <t>Each step appears in Calculations and replaces the aggregate. The Agents sheet is an aggregate import template, not a lossless backup of detailed steps.</t>
        </is>
      </c>
    </row>
    <row r="16">
      <c r="A16" t="inlineStr">
        <is>
          <t>Version</t>
        </is>
      </c>
      <c r="B16" t="inlineStr">
        <is>
          <t>Schema 2; defaults 1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2026-10-01T20:02:26Z</dcterms:created>
  <dcterms:modified xsi:type="dcterms:W3CDTF">2026-10-01T20:02:26Z</dcterms:modified>
</cp:coreProperties>
</file>