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'Agents'!$A$1:$P$3</definedName>
    <definedName name="_xlnm._FilterDatabase" localSheetId="3" hidden="1">'Agent identities'!$A$1:$E$3</definedName>
    <definedName name="_xlnm._FilterDatabase" localSheetId="4" hidden="1">'Volume'!$A$1:$L$3</definedName>
    <definedName name="_xlnm._FilterDatabase" localSheetId="5" hidden="1">'Agent links'!$A$1:$M$4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cases'!$A$1:$I$7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'Pricing'!$A$1:$R$3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Classify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3.333333333333333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classify</t>
        </is>
      </c>
      <c r="AM2" t="inlineStr">
        <is>
          <t>reasoning</t>
        </is>
      </c>
    </row>
    <row r="3">
      <c r="A3" t="inlineStr">
        <is>
          <t>Low</t>
        </is>
      </c>
      <c r="B3" t="inlineStr">
        <is>
          <t>Resolve inquiry</t>
        </is>
      </c>
      <c r="C3" t="inlineStr">
        <is>
          <t>Verify</t>
        </is>
      </c>
      <c r="D3" t="inlineStr">
        <is>
          <t>Fixture 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150</v>
      </c>
      <c r="J3" s="2" t="n">
        <v>37.5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3.333333333333333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0.125</v>
      </c>
      <c r="AL3" t="inlineStr">
        <is>
          <t>verify</t>
        </is>
      </c>
      <c r="AM3" t="inlineStr">
        <is>
          <t>reasoning</t>
        </is>
      </c>
    </row>
    <row r="4">
      <c r="A4" t="inlineStr">
        <is>
          <t>Low</t>
        </is>
      </c>
      <c r="B4" t="inlineStr">
        <is>
          <t>Research documents</t>
        </is>
      </c>
      <c r="C4" t="inlineStr">
        <is>
          <t>Research</t>
        </is>
      </c>
      <c r="D4" t="inlineStr">
        <is>
          <t>Fixture B</t>
        </is>
      </c>
      <c r="E4" s="2" t="n">
        <v>1</v>
      </c>
      <c r="F4" s="2" t="n">
        <v>50</v>
      </c>
      <c r="G4" s="2">
        <f>AJ4*AK4</f>
        <v/>
      </c>
      <c r="H4" s="2" t="n">
        <v>0</v>
      </c>
      <c r="I4" s="2" t="n">
        <v>375</v>
      </c>
      <c r="J4" s="2" t="n">
        <v>75</v>
      </c>
      <c r="K4" s="2" t="n">
        <v>0</v>
      </c>
      <c r="L4" s="2" t="n">
        <v>0</v>
      </c>
      <c r="M4" s="2" t="n">
        <v>1</v>
      </c>
      <c r="N4" s="2" t="n">
        <v>4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2</v>
      </c>
      <c r="AK4" s="2" t="n">
        <v>1</v>
      </c>
      <c r="AL4" t="inlineStr">
        <is>
          <t>research</t>
        </is>
      </c>
      <c r="AM4" t="inlineStr">
        <is>
          <t>reasoning</t>
        </is>
      </c>
    </row>
    <row r="5">
      <c r="A5" t="inlineStr">
        <is>
          <t>Expected</t>
        </is>
      </c>
      <c r="B5" t="inlineStr">
        <is>
          <t>Resolve inquiry</t>
        </is>
      </c>
      <c r="C5" t="inlineStr">
        <is>
          <t>Classify</t>
        </is>
      </c>
      <c r="D5" t="inlineStr">
        <is>
          <t>Fixture A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1000</v>
      </c>
      <c r="J5" s="2" t="n">
        <v>100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3.333333333333333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classify</t>
        </is>
      </c>
      <c r="AM5" t="inlineStr">
        <is>
          <t>reasoning</t>
        </is>
      </c>
    </row>
    <row r="6">
      <c r="A6" t="inlineStr">
        <is>
          <t>Expected</t>
        </is>
      </c>
      <c r="B6" t="inlineStr">
        <is>
          <t>Resolve inquiry</t>
        </is>
      </c>
      <c r="C6" t="inlineStr">
        <is>
          <t>Verify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200</v>
      </c>
      <c r="J6" s="2" t="n">
        <v>50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3.333333333333333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0.125</v>
      </c>
      <c r="AL6" t="inlineStr">
        <is>
          <t>verify</t>
        </is>
      </c>
      <c r="AM6" t="inlineStr">
        <is>
          <t>reasoning</t>
        </is>
      </c>
    </row>
    <row r="7">
      <c r="A7" t="inlineStr">
        <is>
          <t>Expected</t>
        </is>
      </c>
      <c r="B7" t="inlineStr">
        <is>
          <t>Research documents</t>
        </is>
      </c>
      <c r="C7" t="inlineStr">
        <is>
          <t>Research</t>
        </is>
      </c>
      <c r="D7" t="inlineStr">
        <is>
          <t>Fixture B</t>
        </is>
      </c>
      <c r="E7" s="2" t="n">
        <v>1</v>
      </c>
      <c r="F7" s="2" t="n">
        <v>50</v>
      </c>
      <c r="G7" s="2">
        <f>AJ7*AK7</f>
        <v/>
      </c>
      <c r="H7" s="2" t="n">
        <v>0</v>
      </c>
      <c r="I7" s="2" t="n">
        <v>500</v>
      </c>
      <c r="J7" s="2" t="n">
        <v>100</v>
      </c>
      <c r="K7" s="2" t="n">
        <v>0</v>
      </c>
      <c r="L7" s="2" t="n">
        <v>0</v>
      </c>
      <c r="M7" s="2" t="n">
        <v>1</v>
      </c>
      <c r="N7" s="2" t="n">
        <v>4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derived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2</v>
      </c>
      <c r="AK7" s="2" t="n">
        <v>1</v>
      </c>
      <c r="AL7" t="inlineStr">
        <is>
          <t>research</t>
        </is>
      </c>
      <c r="AM7" t="inlineStr">
        <is>
          <t>reasoning</t>
        </is>
      </c>
    </row>
    <row r="8">
      <c r="A8" t="inlineStr">
        <is>
          <t>High</t>
        </is>
      </c>
      <c r="B8" t="inlineStr">
        <is>
          <t>Resolve inquiry</t>
        </is>
      </c>
      <c r="C8" t="inlineStr">
        <is>
          <t>Classify</t>
        </is>
      </c>
      <c r="D8" t="inlineStr">
        <is>
          <t>Fixture A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1500</v>
      </c>
      <c r="J8" s="2" t="n">
        <v>150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</v>
      </c>
      <c r="AB8" s="2" t="n">
        <v>3.333333333333333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classify</t>
        </is>
      </c>
      <c r="AM8" t="inlineStr">
        <is>
          <t>reasoning</t>
        </is>
      </c>
    </row>
    <row r="9">
      <c r="A9" t="inlineStr">
        <is>
          <t>High</t>
        </is>
      </c>
      <c r="B9" t="inlineStr">
        <is>
          <t>Resolve inquiry</t>
        </is>
      </c>
      <c r="C9" t="inlineStr">
        <is>
          <t>Verify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</v>
      </c>
      <c r="I9" s="2" t="n">
        <v>300</v>
      </c>
      <c r="J9" s="2" t="n">
        <v>75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3.333333333333333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0.125</v>
      </c>
      <c r="AL9" t="inlineStr">
        <is>
          <t>verify</t>
        </is>
      </c>
      <c r="AM9" t="inlineStr">
        <is>
          <t>reasoning</t>
        </is>
      </c>
    </row>
    <row r="10">
      <c r="A10" t="inlineStr">
        <is>
          <t>High</t>
        </is>
      </c>
      <c r="B10" t="inlineStr">
        <is>
          <t>Research documents</t>
        </is>
      </c>
      <c r="C10" t="inlineStr">
        <is>
          <t>Research</t>
        </is>
      </c>
      <c r="D10" t="inlineStr">
        <is>
          <t>Fixture B</t>
        </is>
      </c>
      <c r="E10" s="2" t="n">
        <v>1</v>
      </c>
      <c r="F10" s="2" t="n">
        <v>50</v>
      </c>
      <c r="G10" s="2">
        <f>AJ10*AK10</f>
        <v/>
      </c>
      <c r="H10" s="2" t="n">
        <v>0</v>
      </c>
      <c r="I10" s="2" t="n">
        <v>750</v>
      </c>
      <c r="J10" s="2" t="n">
        <v>150</v>
      </c>
      <c r="K10" s="2" t="n">
        <v>0</v>
      </c>
      <c r="L10" s="2" t="n">
        <v>0</v>
      </c>
      <c r="M10" s="2" t="n">
        <v>1</v>
      </c>
      <c r="N10" s="2" t="n">
        <v>4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derived</t>
        </is>
      </c>
      <c r="AA10" s="2" t="n">
        <v>0</v>
      </c>
      <c r="AB10" s="2" t="n">
        <v>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2</v>
      </c>
      <c r="AK10" s="2" t="n">
        <v>1</v>
      </c>
      <c r="AL10" t="inlineStr">
        <is>
          <t>research</t>
        </is>
      </c>
      <c r="AM10" t="inlineStr">
        <is>
          <t>reasoning</t>
        </is>
      </c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3.333333333333333</v>
      </c>
      <c r="O2" t="inlineStr">
        <is>
          <t>router</t>
        </is>
      </c>
      <c r="P2" t="inlineStr">
        <is>
          <t>Business use case pending description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specialist</t>
        </is>
      </c>
      <c r="P3" t="inlineStr">
        <is>
          <t>Business use case pending description</t>
        </is>
      </c>
    </row>
  </sheetData>
  <autoFilter ref="A1:P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router</t>
        </is>
      </c>
      <c r="B2" t="inlineStr">
        <is>
          <t>Resolve inquiry</t>
        </is>
      </c>
      <c r="C2" t="inlineStr">
        <is>
          <t>router</t>
        </is>
      </c>
      <c r="D2" t="inlineStr">
        <is>
          <t>Resolve inquiry</t>
        </is>
      </c>
      <c r="E2" t="inlineStr">
        <is>
          <t>Business use case pending description</t>
        </is>
      </c>
    </row>
    <row r="3">
      <c r="A3" t="inlineStr">
        <is>
          <t>specialist</t>
        </is>
      </c>
      <c r="B3" t="inlineStr">
        <is>
          <t>Research documents</t>
        </is>
      </c>
      <c r="C3" t="inlineStr">
        <is>
          <t>specialist</t>
        </is>
      </c>
      <c r="D3" t="inlineStr">
        <is>
          <t>Research documents</t>
        </is>
      </c>
      <c r="E3" t="inlineStr">
        <is>
          <t>Business use case pending description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3.333333333333333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router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50</v>
      </c>
      <c r="J3" s="2">
        <f>C3*I3</f>
        <v/>
      </c>
      <c r="K3" t="inlineStr">
        <is>
          <t>specialist</t>
        </is>
      </c>
      <c r="L3" t="inlineStr">
        <is>
          <t>daily_users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Research documents</t>
        </is>
      </c>
      <c r="D2" t="inlineStr"/>
      <c r="E2" s="2" t="n">
        <v>1</v>
      </c>
      <c r="F2" s="2" t="n">
        <v>2</v>
      </c>
      <c r="G2" s="2" t="n">
        <v>100</v>
      </c>
      <c r="H2" s="2">
        <f>E2*F2*G2*M2</f>
        <v/>
      </c>
      <c r="I2" t="inlineStr">
        <is>
          <t>Complete</t>
        </is>
      </c>
      <c r="J2" t="inlineStr">
        <is>
          <t>delegation</t>
        </is>
      </c>
      <c r="K2" t="inlineStr">
        <is>
          <t>router</t>
        </is>
      </c>
      <c r="L2" t="inlineStr">
        <is>
          <t>specialist</t>
        </is>
      </c>
      <c r="M2" s="2" t="n">
        <v>0.25</v>
      </c>
    </row>
    <row r="3">
      <c r="A3" t="inlineStr">
        <is>
          <t>Expected</t>
        </is>
      </c>
      <c r="B3" t="inlineStr">
        <is>
          <t>Resolve inquiry</t>
        </is>
      </c>
      <c r="C3" t="inlineStr">
        <is>
          <t>Research documents</t>
        </is>
      </c>
      <c r="D3" t="inlineStr"/>
      <c r="E3" s="2" t="n">
        <v>1</v>
      </c>
      <c r="F3" s="2" t="n">
        <v>2</v>
      </c>
      <c r="G3" s="2" t="n">
        <v>100</v>
      </c>
      <c r="H3" s="2">
        <f>E3*F3*G3*M3</f>
        <v/>
      </c>
      <c r="I3" t="inlineStr">
        <is>
          <t>Complete</t>
        </is>
      </c>
      <c r="J3" t="inlineStr">
        <is>
          <t>delegation</t>
        </is>
      </c>
      <c r="K3" t="inlineStr">
        <is>
          <t>router</t>
        </is>
      </c>
      <c r="L3" t="inlineStr">
        <is>
          <t>specialist</t>
        </is>
      </c>
      <c r="M3" s="2" t="n">
        <v>0.25</v>
      </c>
    </row>
    <row r="4">
      <c r="A4" t="inlineStr">
        <is>
          <t>High</t>
        </is>
      </c>
      <c r="B4" t="inlineStr">
        <is>
          <t>Resolve inquiry</t>
        </is>
      </c>
      <c r="C4" t="inlineStr">
        <is>
          <t>Research documents</t>
        </is>
      </c>
      <c r="D4" t="inlineStr"/>
      <c r="E4" s="2" t="n">
        <v>1</v>
      </c>
      <c r="F4" s="2" t="n">
        <v>2</v>
      </c>
      <c r="G4" s="2" t="n">
        <v>100</v>
      </c>
      <c r="H4" s="2">
        <f>E4*F4*G4*M4</f>
        <v/>
      </c>
      <c r="I4" t="inlineStr">
        <is>
          <t>Complete</t>
        </is>
      </c>
      <c r="J4" t="inlineStr">
        <is>
          <t>delegation</t>
        </is>
      </c>
      <c r="K4" t="inlineStr">
        <is>
          <t>router</t>
        </is>
      </c>
      <c r="L4" t="inlineStr">
        <is>
          <t>specialist</t>
        </is>
      </c>
      <c r="M4" s="2" t="n">
        <v>0.25</v>
      </c>
    </row>
  </sheetData>
  <autoFilter ref="A1:M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Search API</t>
        </is>
      </c>
      <c r="D2" s="2" t="n">
        <v>100</v>
      </c>
      <c r="E2" s="2" t="n">
        <v>0.25</v>
      </c>
      <c r="F2" s="2" t="n">
        <v>0.5</v>
      </c>
      <c r="G2" s="2" t="n">
        <v>1</v>
      </c>
      <c r="H2" s="2" t="n">
        <v>0.1</v>
      </c>
      <c r="I2" s="2">
        <f>D2*E2*F2*G2*H2</f>
        <v/>
      </c>
      <c r="J2" t="inlineStr">
        <is>
          <t>verify</t>
        </is>
      </c>
    </row>
    <row r="3">
      <c r="A3" t="inlineStr">
        <is>
          <t>Expected</t>
        </is>
      </c>
      <c r="B3" t="inlineStr">
        <is>
          <t>Resolve inquiry</t>
        </is>
      </c>
      <c r="C3" t="inlineStr">
        <is>
          <t>Search API</t>
        </is>
      </c>
      <c r="D3" s="2" t="n">
        <v>100</v>
      </c>
      <c r="E3" s="2" t="n">
        <v>0.25</v>
      </c>
      <c r="F3" s="2" t="n">
        <v>0.5</v>
      </c>
      <c r="G3" s="2" t="n">
        <v>1</v>
      </c>
      <c r="H3" s="2" t="n">
        <v>0.1</v>
      </c>
      <c r="I3" s="2">
        <f>D3*E3*F3*G3*H3</f>
        <v/>
      </c>
      <c r="J3" t="inlineStr">
        <is>
          <t>verify</t>
        </is>
      </c>
    </row>
    <row r="4">
      <c r="A4" t="inlineStr">
        <is>
          <t>High</t>
        </is>
      </c>
      <c r="B4" t="inlineStr">
        <is>
          <t>Resolve inquiry</t>
        </is>
      </c>
      <c r="C4" t="inlineStr">
        <is>
          <t>Search API</t>
        </is>
      </c>
      <c r="D4" s="2" t="n">
        <v>100</v>
      </c>
      <c r="E4" s="2" t="n">
        <v>0.25</v>
      </c>
      <c r="F4" s="2" t="n">
        <v>0.5</v>
      </c>
      <c r="G4" s="2" t="n">
        <v>1</v>
      </c>
      <c r="H4" s="2" t="n">
        <v>0.1</v>
      </c>
      <c r="I4" s="2">
        <f>D4*E4*F4*G4*H4</f>
        <v/>
      </c>
      <c r="J4" t="inlineStr">
        <is>
          <t>verify</t>
        </is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Shared runtime</t>
        </is>
      </c>
      <c r="D2" s="2" t="n">
        <v>10</v>
      </c>
      <c r="E2" s="2" t="n">
        <v>150</v>
      </c>
      <c r="F2" s="2" t="n">
        <v>0.01</v>
      </c>
      <c r="G2" s="2" t="n">
        <v>175</v>
      </c>
      <c r="H2" s="2" t="n">
        <v>0.001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Shared runtime</t>
        </is>
      </c>
      <c r="D3" s="2" t="n">
        <v>10</v>
      </c>
      <c r="E3" s="2" t="n">
        <v>150</v>
      </c>
      <c r="F3" s="2" t="n">
        <v>0.01</v>
      </c>
      <c r="G3" s="2" t="n">
        <v>175</v>
      </c>
      <c r="H3" s="2" t="n">
        <v>0.001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Shared runtime</t>
        </is>
      </c>
      <c r="D4" s="2" t="n">
        <v>10</v>
      </c>
      <c r="E4" s="2" t="n">
        <v>150</v>
      </c>
      <c r="F4" s="2" t="n">
        <v>0.01</v>
      </c>
      <c r="G4" s="2" t="n">
        <v>175</v>
      </c>
      <c r="H4" s="2" t="n">
        <v>0.001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Resolve inquiry</t>
        </is>
      </c>
      <c r="D2" s="2" t="n">
        <v>100</v>
      </c>
      <c r="E2" s="2" t="n">
        <v>0.014675</v>
      </c>
      <c r="F2" s="2" t="n">
        <v>0.07783333333333334</v>
      </c>
      <c r="G2" s="2" t="n">
        <v>0.1321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 documents</t>
        </is>
      </c>
      <c r="C3" t="inlineStr">
        <is>
          <t>Research documents</t>
        </is>
      </c>
      <c r="D3" s="2" t="n">
        <v>50</v>
      </c>
      <c r="E3" s="2" t="n">
        <v>0.00135</v>
      </c>
      <c r="F3" s="2" t="n">
        <v>0.07783333333333334</v>
      </c>
      <c r="G3" s="2" t="n">
        <v>0.07918333333333333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Expected</t>
        </is>
      </c>
      <c r="B4" t="inlineStr">
        <is>
          <t>Resolve inquiry</t>
        </is>
      </c>
      <c r="C4" t="inlineStr">
        <is>
          <t>Resolve inquiry</t>
        </is>
      </c>
      <c r="D4" s="2" t="n">
        <v>100</v>
      </c>
      <c r="E4" s="2" t="n">
        <v>0.0154</v>
      </c>
      <c r="F4" s="2" t="n">
        <v>0.07783333333333334</v>
      </c>
      <c r="G4" s="2" t="n">
        <v>0.13305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Research documents</t>
        </is>
      </c>
      <c r="C5" t="inlineStr">
        <is>
          <t>Research documents</t>
        </is>
      </c>
      <c r="D5" s="2" t="n">
        <v>50</v>
      </c>
      <c r="E5" s="2" t="n">
        <v>0.0018</v>
      </c>
      <c r="F5" s="2" t="n">
        <v>0.07783333333333334</v>
      </c>
      <c r="G5" s="2" t="n">
        <v>0.07963333333333333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High</t>
        </is>
      </c>
      <c r="B6" t="inlineStr">
        <is>
          <t>Resolve inquiry</t>
        </is>
      </c>
      <c r="C6" t="inlineStr">
        <is>
          <t>Resolve inquiry</t>
        </is>
      </c>
      <c r="D6" s="2" t="n">
        <v>100</v>
      </c>
      <c r="E6" s="2" t="n">
        <v>0.01685</v>
      </c>
      <c r="F6" s="2" t="n">
        <v>0.07783333333333334</v>
      </c>
      <c r="G6" s="2" t="n">
        <v>0.13495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High</t>
        </is>
      </c>
      <c r="B7" t="inlineStr">
        <is>
          <t>Research documents</t>
        </is>
      </c>
      <c r="C7" t="inlineStr">
        <is>
          <t>Research documents</t>
        </is>
      </c>
      <c r="D7" s="2" t="n">
        <v>50</v>
      </c>
      <c r="E7" s="2" t="n">
        <v>0.0027</v>
      </c>
      <c r="F7" s="2" t="n">
        <v>0.07783333333333334</v>
      </c>
      <c r="G7" s="2" t="n">
        <v>0.08053333333333333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</sheetData>
  <autoFilter ref="A1:I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SUMIF(Volume!B2:B3,A2,Volume!J2:J3)</f>
        <v/>
      </c>
    </row>
    <row r="3">
      <c r="A3" t="inlineStr">
        <is>
          <t>medium</t>
        </is>
      </c>
      <c r="B3" s="2">
        <f>SUMIF(Volume!B2:B3,A3,Volume!J2:J3)</f>
        <v/>
      </c>
    </row>
    <row r="4">
      <c r="A4" t="inlineStr">
        <is>
          <t>high</t>
        </is>
      </c>
      <c r="B4" s="2">
        <f>SUMIF(Volume!B2:B3,A4,Volume!J2:J3)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Fixture vendor A</t>
        </is>
      </c>
      <c r="C2" s="2" t="n">
        <v>2</v>
      </c>
      <c r="D2" s="2" t="n">
        <v>8</v>
      </c>
      <c r="G2" t="inlineStr">
        <is>
          <t>Versioned architect fixture</t>
        </is>
      </c>
      <c r="H2" t="inlineStr">
        <is>
          <t>2026-10-02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B</t>
        </is>
      </c>
      <c r="B3" t="inlineStr">
        <is>
          <t>Fixture vendor B</t>
        </is>
      </c>
      <c r="C3" s="2" t="n">
        <v>1</v>
      </c>
      <c r="D3" s="2" t="n">
        <v>4</v>
      </c>
      <c r="G3" t="inlineStr">
        <is>
          <t>Versioned architect fixture</t>
        </is>
      </c>
      <c r="H3" t="inlineStr">
        <is>
          <t>2026-10-02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Agentic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2026-10-05T01:43:42Z</dcterms:created>
  <dcterms:modified xsi:type="dcterms:W3CDTF">2026-10-05T01:43:42Z</dcterms:modified>
</cp:coreProperties>
</file>