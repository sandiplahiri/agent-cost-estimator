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category summary" sheetId="13" state="visible" r:id="rId13"/>
    <sheet name="Profiles" sheetId="14" state="visible" r:id="rId14"/>
    <sheet name="Scenarios" sheetId="15" state="visible" r:id="rId15"/>
    <sheet name="Additional costs" sheetId="16" state="visible" r:id="rId16"/>
    <sheet name="Pricing" sheetId="17" state="visible" r:id="rId17"/>
    <sheet name="Read me" sheetId="18" state="visible" r:id="rId18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'Agents'!$A$1:$P$4</definedName>
    <definedName name="_xlnm._FilterDatabase" localSheetId="3" hidden="1">'Agent identities'!$A$1:$E$3</definedName>
    <definedName name="_xlnm._FilterDatabase" localSheetId="4" hidden="1">'Volume'!$A$1:$L$4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cases'!$A$1:$I$10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category summary'!$A$1:$H$5</definedName>
    <definedName name="_xlnm._FilterDatabase" localSheetId="13" hidden="1">'Profiles'!$A$1:$H$4</definedName>
    <definedName name="_xlnm._FilterDatabase" localSheetId="14" hidden="1">'Scenarios'!$A$1:$G$4</definedName>
    <definedName name="_xlnm._FilterDatabase" localSheetId="15" hidden="1">'Additional costs'!$A$1:$A$1</definedName>
    <definedName name="_xlnm._FilterDatabase" localSheetId="16" hidden="1">'Pricing'!$A$1:$R$1</definedName>
    <definedName name="_xlnm._FilterDatabase" localSheetId="17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INCOMPLETE — known costs only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INCOMPLETE — known costs only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INCOMPLETE — known costs only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/>
      <c r="E2" s="2" t="n">
        <v>2</v>
      </c>
      <c r="F2" s="2">
        <f>IF(Z2="daily_users",AA2*AB2*AC2,AD2)*AE2</f>
        <v/>
      </c>
      <c r="G2" s="2">
        <f>AJ2*AK2</f>
        <v/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Q2" s="2">
        <f>E2*F2*G2*(1+H2)</f>
        <v/>
      </c>
      <c r="R2" s="2">
        <f>Q2*I2</f>
        <v/>
      </c>
      <c r="S2" s="2">
        <f>Q2*J2</f>
        <v/>
      </c>
      <c r="Y2" t="inlineStr">
        <is>
          <t>Select a model with a price snapshot.; Missing input price.; Missing output price.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>
        <f>IF(Z3="daily_users",AA3*AB3*AC3,AD3)*AE3</f>
        <v/>
      </c>
      <c r="G3" s="2">
        <f>AJ3*AK3</f>
        <v/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0</v>
      </c>
      <c r="AB3" s="2" t="n">
        <v>0</v>
      </c>
      <c r="AC3" s="2" t="n">
        <v>30</v>
      </c>
      <c r="AD3" s="2" t="n">
        <v>0</v>
      </c>
      <c r="AE3" s="2" t="n">
        <v>1</v>
      </c>
      <c r="AF3" t="inlineStr">
        <is>
          <t>medium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4</v>
      </c>
      <c r="AK3" s="2" t="n">
        <v>1</v>
      </c>
      <c r="AM3" t="inlineStr"/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>
        <f>IF(Z4="daily_users",AA4*AB4*AC4,AD4)*AE4</f>
        <v/>
      </c>
      <c r="G4" s="2">
        <f>AJ4*AK4</f>
        <v/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high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10</v>
      </c>
      <c r="AK4" s="2" t="n">
        <v>1</v>
      </c>
      <c r="AM4" t="inlineStr"/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/>
      <c r="E5" s="2" t="n">
        <v>2</v>
      </c>
      <c r="F5" s="2">
        <f>IF(Z5="daily_users",AA5*AB5*AC5,AD5)*AE5</f>
        <v/>
      </c>
      <c r="G5" s="2">
        <f>AJ5*AK5</f>
        <v/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Q5" s="2">
        <f>E5*F5*G5*(1+H5)</f>
        <v/>
      </c>
      <c r="R5" s="2">
        <f>Q5*I5</f>
        <v/>
      </c>
      <c r="S5" s="2">
        <f>Q5*J5</f>
        <v/>
      </c>
      <c r="Y5" t="inlineStr">
        <is>
          <t>Select a model with a price snapshot.; Missing input price.; Missing output price.</t>
        </is>
      </c>
      <c r="Z5" t="inlineStr">
        <is>
          <t>daily_users</t>
        </is>
      </c>
      <c r="AA5" s="2" t="n">
        <v>1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M5" t="inlineStr"/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>
        <f>IF(Z6="daily_users",AA6*AB6*AC6,AD6)*AE6</f>
        <v/>
      </c>
      <c r="G6" s="2">
        <f>AJ6*AK6</f>
        <v/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0</v>
      </c>
      <c r="AB6" s="2" t="n">
        <v>0</v>
      </c>
      <c r="AC6" s="2" t="n">
        <v>30</v>
      </c>
      <c r="AD6" s="2" t="n">
        <v>0</v>
      </c>
      <c r="AE6" s="2" t="n">
        <v>1</v>
      </c>
      <c r="AF6" t="inlineStr">
        <is>
          <t>medium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4</v>
      </c>
      <c r="AK6" s="2" t="n">
        <v>1</v>
      </c>
      <c r="AM6" t="inlineStr"/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>
        <f>IF(Z7="daily_users",AA7*AB7*AC7,AD7)*AE7</f>
        <v/>
      </c>
      <c r="G7" s="2">
        <f>AJ7*AK7</f>
        <v/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daily_users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high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10</v>
      </c>
      <c r="AK7" s="2" t="n">
        <v>1</v>
      </c>
      <c r="AM7" t="inlineStr"/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/>
      <c r="E8" s="2" t="n">
        <v>2</v>
      </c>
      <c r="F8" s="2">
        <f>IF(Z8="daily_users",AA8*AB8*AC8,AD8)*AE8</f>
        <v/>
      </c>
      <c r="G8" s="2">
        <f>AJ8*AK8</f>
        <v/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Q8" s="2">
        <f>E8*F8*G8*(1+H8)</f>
        <v/>
      </c>
      <c r="R8" s="2">
        <f>Q8*I8</f>
        <v/>
      </c>
      <c r="S8" s="2">
        <f>Q8*J8</f>
        <v/>
      </c>
      <c r="Y8" t="inlineStr">
        <is>
          <t>Select a model with a price snapshot.; Missing input price.; Missing output price.</t>
        </is>
      </c>
      <c r="Z8" t="inlineStr">
        <is>
          <t>daily_users</t>
        </is>
      </c>
      <c r="AA8" s="2" t="n">
        <v>1</v>
      </c>
      <c r="AB8" s="2" t="n">
        <v>1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M8" t="inlineStr"/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>
        <f>IF(Z9="daily_users",AA9*AB9*AC9,AD9)*AE9</f>
        <v/>
      </c>
      <c r="G9" s="2">
        <f>AJ9*AK9</f>
        <v/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0</v>
      </c>
      <c r="AB9" s="2" t="n">
        <v>0</v>
      </c>
      <c r="AC9" s="2" t="n">
        <v>30</v>
      </c>
      <c r="AD9" s="2" t="n">
        <v>0</v>
      </c>
      <c r="AE9" s="2" t="n">
        <v>1</v>
      </c>
      <c r="AF9" t="inlineStr">
        <is>
          <t>medium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4</v>
      </c>
      <c r="AK9" s="2" t="n">
        <v>1</v>
      </c>
      <c r="AM9" t="inlineStr"/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>
        <f>IF(Z10="daily_users",AA10*AB10*AC10,AD10)*AE10</f>
        <v/>
      </c>
      <c r="G10" s="2">
        <f>AJ10*AK10</f>
        <v/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daily_users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high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10</v>
      </c>
      <c r="AK10" s="2" t="n">
        <v>1</v>
      </c>
      <c r="AM10" t="inlineStr"/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daily_users</t>
        </is>
      </c>
      <c r="M3" s="2" t="n">
        <v>0</v>
      </c>
      <c r="N3" s="2" t="n">
        <v>0</v>
      </c>
      <c r="O3" t="inlineStr"/>
      <c r="P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daily_users</t>
        </is>
      </c>
      <c r="M4" s="2" t="n">
        <v>0</v>
      </c>
      <c r="N4" s="2" t="n">
        <v>0</v>
      </c>
      <c r="O4" t="inlineStr"/>
      <c r="P4" t="inlineStr"/>
    </row>
  </sheetData>
  <autoFilter ref="A1:P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2f68ae22-0737-4120-af30-066032681343</t>
        </is>
      </c>
      <c r="B2" t="inlineStr">
        <is>
          <t>Simple agents</t>
        </is>
      </c>
      <c r="C2" t="inlineStr">
        <is>
          <t>triage-1</t>
        </is>
      </c>
      <c r="D2" t="inlineStr">
        <is>
          <t>Customer triage</t>
        </is>
      </c>
      <c r="E2" t="inlineStr">
        <is>
          <t>Classifies support requests</t>
        </is>
      </c>
    </row>
    <row r="3">
      <c r="A3" t="inlineStr">
        <is>
          <t>2f68ae22-0737-4120-af30-066032681343</t>
        </is>
      </c>
      <c r="B3" t="inlineStr">
        <is>
          <t>Simple agents</t>
        </is>
      </c>
      <c r="C3" t="inlineStr">
        <is>
          <t>draft-2</t>
        </is>
      </c>
      <c r="D3" t="inlineStr">
        <is>
          <t>Response drafter</t>
        </is>
      </c>
      <c r="E3" t="inlineStr">
        <is>
          <t>Drafts a customer reply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2f68ae22-0737-4120-af30-066032681343</t>
        </is>
      </c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t="inlineStr">
        <is>
          <t>daily_users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>
        <f>IF(D3="daily_users",E3*F3*G3,H3)</f>
        <v/>
      </c>
      <c r="J3" s="2">
        <f>C3*I3</f>
        <v/>
      </c>
      <c r="K3" t="inlineStr">
        <is>
          <t>2bbd3def-ae63-40e3-8dd1-6cd1a314a842</t>
        </is>
      </c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t="inlineStr">
        <is>
          <t>daily_users</t>
        </is>
      </c>
      <c r="E4" s="2" t="n">
        <v>0</v>
      </c>
      <c r="F4" s="2" t="n">
        <v>0</v>
      </c>
      <c r="G4" s="2" t="n">
        <v>30</v>
      </c>
      <c r="H4" s="2" t="n">
        <v>0</v>
      </c>
      <c r="I4" s="2">
        <f>IF(D4="daily_users",E4*F4*G4,H4)</f>
        <v/>
      </c>
      <c r="J4" s="2">
        <f>C4*I4</f>
        <v/>
      </c>
      <c r="K4" t="inlineStr">
        <is>
          <t>45c5b507-3cbe-4a26-8bca-984950b57eb6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60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60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60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Simple agents</t>
        </is>
      </c>
      <c r="D2" s="2" t="n">
        <v>60</v>
      </c>
      <c r="E2" s="2" t="n">
        <v>0</v>
      </c>
      <c r="F2" s="2" t="n">
        <v>0</v>
      </c>
      <c r="G2" s="2" t="n">
        <v>0</v>
      </c>
      <c r="H2" t="inlineStr">
        <is>
          <t>INCOMPLETE — known costs only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Medium agents</t>
        </is>
      </c>
      <c r="D3" s="2" t="n">
        <v>0</v>
      </c>
      <c r="E3" s="2" t="n">
        <v>0</v>
      </c>
      <c r="F3" s="2" t="n">
        <v>0</v>
      </c>
      <c r="G3" s="2" t="n">
        <v>0</v>
      </c>
      <c r="H3" t="inlineStr">
        <is>
          <t>INCOMPLETE — known costs only</t>
        </is>
      </c>
      <c r="I3" t="inlineStr">
        <is>
          <t>Precomputed DAG rollup; inputs and direct calculations in other sheets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High agents</t>
        </is>
      </c>
      <c r="D4" s="2" t="n">
        <v>0</v>
      </c>
      <c r="E4" s="2" t="n">
        <v>0</v>
      </c>
      <c r="F4" s="2" t="n">
        <v>0</v>
      </c>
      <c r="G4" s="2" t="n">
        <v>0</v>
      </c>
      <c r="H4" t="inlineStr">
        <is>
          <t>INCOMPLETE — known costs only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Simple agents</t>
        </is>
      </c>
      <c r="D5" s="2" t="n">
        <v>60</v>
      </c>
      <c r="E5" s="2" t="n">
        <v>0</v>
      </c>
      <c r="F5" s="2" t="n">
        <v>0</v>
      </c>
      <c r="G5" s="2" t="n">
        <v>0</v>
      </c>
      <c r="H5" t="inlineStr">
        <is>
          <t>INCOMPLETE — known costs only</t>
        </is>
      </c>
      <c r="I5" t="inlineStr">
        <is>
          <t>Precomputed DAG rollup; inputs and direct calculations in other sheets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Medium agents</t>
        </is>
      </c>
      <c r="D6" s="2" t="n">
        <v>0</v>
      </c>
      <c r="E6" s="2" t="n">
        <v>0</v>
      </c>
      <c r="F6" s="2" t="n">
        <v>0</v>
      </c>
      <c r="G6" s="2" t="n">
        <v>0</v>
      </c>
      <c r="H6" t="inlineStr">
        <is>
          <t>INCOMPLETE — known costs only</t>
        </is>
      </c>
      <c r="I6" t="inlineStr">
        <is>
          <t>Precomputed DAG rollup; inputs and direct calculations in other sheets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High agents</t>
        </is>
      </c>
      <c r="D7" s="2" t="n">
        <v>0</v>
      </c>
      <c r="E7" s="2" t="n">
        <v>0</v>
      </c>
      <c r="F7" s="2" t="n">
        <v>0</v>
      </c>
      <c r="G7" s="2" t="n">
        <v>0</v>
      </c>
      <c r="H7" t="inlineStr">
        <is>
          <t>INCOMPLETE — known costs only</t>
        </is>
      </c>
      <c r="I7" t="inlineStr">
        <is>
          <t>Precomputed DAG rollup; inputs and direct calculations in other sheets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Simple agents</t>
        </is>
      </c>
      <c r="D8" s="2" t="n">
        <v>60</v>
      </c>
      <c r="E8" s="2" t="n">
        <v>0</v>
      </c>
      <c r="F8" s="2" t="n">
        <v>0</v>
      </c>
      <c r="G8" s="2" t="n">
        <v>0</v>
      </c>
      <c r="H8" t="inlineStr">
        <is>
          <t>INCOMPLETE — known costs only</t>
        </is>
      </c>
      <c r="I8" t="inlineStr">
        <is>
          <t>Precomputed DAG rollup; inputs and direct calculations in other sheets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Medium agents</t>
        </is>
      </c>
      <c r="D9" s="2" t="n">
        <v>0</v>
      </c>
      <c r="E9" s="2" t="n">
        <v>0</v>
      </c>
      <c r="F9" s="2" t="n">
        <v>0</v>
      </c>
      <c r="G9" s="2" t="n">
        <v>0</v>
      </c>
      <c r="H9" t="inlineStr">
        <is>
          <t>INCOMPLETE — known costs only</t>
        </is>
      </c>
      <c r="I9" t="inlineStr">
        <is>
          <t>Precomputed DAG rollup; inputs and direct calculations in other sheets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High agents</t>
        </is>
      </c>
      <c r="D10" s="2" t="n">
        <v>0</v>
      </c>
      <c r="E10" s="2" t="n">
        <v>0</v>
      </c>
      <c r="F10" s="2" t="n">
        <v>0</v>
      </c>
      <c r="G10" s="2" t="n">
        <v>0</v>
      </c>
      <c r="H10" t="inlineStr">
        <is>
          <t>INCOMPLETE — known costs only</t>
        </is>
      </c>
      <c r="I10" t="inlineStr">
        <is>
          <t>Precomputed DAG rollup; inputs and direct calculations in other sheets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F2" t="inlineStr">
        <is>
          <t>INCOMPLETE — known costs only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F3" t="inlineStr">
        <is>
          <t>INCOMPLETE — known costs only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F4" t="inlineStr">
        <is>
          <t>INCOMPLETE — known costs only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F5" t="inlineStr">
        <is>
          <t>INCOMPLETE — known costs only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INCOMPLETE — known costs only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INCOMPLETE — known costs only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INCOMPLETE — known costs only</t>
        </is>
      </c>
    </row>
  </sheetData>
  <autoFilter ref="A1:H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/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</sheetData>
  <autoFilter ref="A1:R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Identity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7;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2026-10-04T01:28:26Z</dcterms:created>
  <dcterms:modified xsi:type="dcterms:W3CDTF">2026-10-04T01:28:26Z</dcterms:modified>
</cp:coreProperties>
</file>