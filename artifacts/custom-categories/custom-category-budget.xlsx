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category summary" sheetId="13" state="visible" r:id="rId13"/>
    <sheet name="Profiles" sheetId="14" state="visible" r:id="rId14"/>
    <sheet name="Scenarios" sheetId="15" state="visible" r:id="rId15"/>
    <sheet name="Additional costs" sheetId="16" state="visible" r:id="rId16"/>
    <sheet name="Pricing" sheetId="17" state="visible" r:id="rId17"/>
    <sheet name="Read me" sheetId="18" state="visible" r:id="rId18"/>
  </sheets>
  <definedNames>
    <definedName name="_xlnm._FilterDatabase" localSheetId="0" hidden="1">'Summary'!$A$1:$J$4</definedName>
    <definedName name="_xlnm._FilterDatabase" localSheetId="1" hidden="1">'Calculations'!$A$1:$AM$13</definedName>
    <definedName name="_xlnm._FilterDatabase" localSheetId="2" hidden="1">'Agents'!$A$1:$P$5</definedName>
    <definedName name="_xlnm._FilterDatabase" localSheetId="3" hidden="1">'Agent identities'!$A$1:$E$3</definedName>
    <definedName name="_xlnm._FilterDatabase" localSheetId="4" hidden="1">'Volume'!$A$1:$L$5</definedName>
    <definedName name="_xlnm._FilterDatabase" localSheetId="5" hidden="1">'Agent links'!$A$1:$M$1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cases'!$A$1:$I$13</definedName>
    <definedName name="_xlnm._FilterDatabase" localSheetId="9" hidden="1">'Category totals'!$A$1:$B$5</definedName>
    <definedName name="_xlnm._FilterDatabase" localSheetId="10" hidden="1">'Category usage'!$A$1:$F$5</definedName>
    <definedName name="_xlnm._FilterDatabase" localSheetId="11" hidden="1">'Category costs'!$A$1:$I$21</definedName>
    <definedName name="_xlnm._FilterDatabase" localSheetId="12" hidden="1">'Monthly category summary'!$A$1:$H$6</definedName>
    <definedName name="_xlnm._FilterDatabase" localSheetId="13" hidden="1">'Profiles'!$A$1:$H$5</definedName>
    <definedName name="_xlnm._FilterDatabase" localSheetId="14" hidden="1">'Scenarios'!$A$1:$G$4</definedName>
    <definedName name="_xlnm._FilterDatabase" localSheetId="15" hidden="1">'Additional costs'!$A$1:$A$1</definedName>
    <definedName name="_xlnm._FilterDatabase" localSheetId="16" hidden="1">'Pricing'!$A$1:$R$2</definedName>
    <definedName name="_xlnm._FilterDatabase" localSheetId="17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SUM(Calculations!X2:X5)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SUM(Calculations!X6:X9)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SUM(Calculations!X10:X13)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Category Fixture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/>
      <c r="E3" s="2" t="n">
        <v>0</v>
      </c>
      <c r="F3" s="2">
        <f>IF(Z3="daily_users",AA3*AB3*AC3,AD3)*AE3</f>
        <v/>
      </c>
      <c r="G3" s="2">
        <f>AJ3*AK3</f>
        <v/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4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/>
      <c r="E4" s="2" t="n">
        <v>0</v>
      </c>
      <c r="F4" s="2">
        <f>IF(Z4="daily_users",AA4*AB4*AC4,AD4)*AE4</f>
        <v/>
      </c>
      <c r="G4" s="2">
        <f>AJ4*AK4</f>
        <v/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10</v>
      </c>
      <c r="AK4" s="2" t="n">
        <v>1</v>
      </c>
      <c r="AM4" t="inlineStr"/>
    </row>
    <row r="5">
      <c r="A5" t="inlineStr">
        <is>
          <t>Low</t>
        </is>
      </c>
      <c r="B5" t="inlineStr">
        <is>
          <t>Simple agent 2</t>
        </is>
      </c>
      <c r="C5" t="inlineStr">
        <is>
          <t>Aggregate</t>
        </is>
      </c>
      <c r="D5" t="inlineStr">
        <is>
          <t>Category Fixture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750</v>
      </c>
      <c r="J5" s="2" t="n">
        <v>375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1</v>
      </c>
      <c r="AC5" s="2" t="n">
        <v>30</v>
      </c>
      <c r="AD5" s="2" t="n">
        <v>0</v>
      </c>
      <c r="AE5" s="2" t="n">
        <v>1</v>
      </c>
      <c r="AF5" t="inlineStr">
        <is>
          <t>Research intensive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2</v>
      </c>
      <c r="AK5" s="2" t="n">
        <v>1</v>
      </c>
      <c r="AM5" t="inlineStr"/>
    </row>
    <row r="6">
      <c r="A6" t="inlineStr">
        <is>
          <t>Expected</t>
        </is>
      </c>
      <c r="B6" t="inlineStr">
        <is>
          <t>Simple agents</t>
        </is>
      </c>
      <c r="C6" t="inlineStr">
        <is>
          <t>Aggregate</t>
        </is>
      </c>
      <c r="D6" t="inlineStr">
        <is>
          <t>Category Fixture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2000</v>
      </c>
      <c r="J6" s="2" t="n">
        <v>500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1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Medium agents</t>
        </is>
      </c>
      <c r="C7" t="inlineStr">
        <is>
          <t>Aggregate</t>
        </is>
      </c>
      <c r="D7" t="inlineStr"/>
      <c r="E7" s="2" t="n">
        <v>0</v>
      </c>
      <c r="F7" s="2">
        <f>IF(Z7="daily_users",AA7*AB7*AC7,AD7)*AE7</f>
        <v/>
      </c>
      <c r="G7" s="2">
        <f>AJ7*AK7</f>
        <v/>
      </c>
      <c r="H7" s="2" t="n">
        <v>0.05</v>
      </c>
      <c r="I7" s="2" t="n">
        <v>6000</v>
      </c>
      <c r="J7" s="2" t="n">
        <v>1000</v>
      </c>
      <c r="K7" s="2" t="n">
        <v>0</v>
      </c>
      <c r="L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medium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4</v>
      </c>
      <c r="AK7" s="2" t="n">
        <v>1</v>
      </c>
      <c r="AM7" t="inlineStr"/>
    </row>
    <row r="8">
      <c r="A8" t="inlineStr">
        <is>
          <t>Expected</t>
        </is>
      </c>
      <c r="B8" t="inlineStr">
        <is>
          <t>High agents</t>
        </is>
      </c>
      <c r="C8" t="inlineStr">
        <is>
          <t>Aggregate</t>
        </is>
      </c>
      <c r="D8" t="inlineStr"/>
      <c r="E8" s="2" t="n">
        <v>0</v>
      </c>
      <c r="F8" s="2">
        <f>IF(Z8="daily_users",AA8*AB8*AC8,AD8)*AE8</f>
        <v/>
      </c>
      <c r="G8" s="2">
        <f>AJ8*AK8</f>
        <v/>
      </c>
      <c r="H8" s="2" t="n">
        <v>0.1</v>
      </c>
      <c r="I8" s="2" t="n">
        <v>15000</v>
      </c>
      <c r="J8" s="2" t="n">
        <v>2000</v>
      </c>
      <c r="K8" s="2" t="n">
        <v>0</v>
      </c>
      <c r="L8" s="2" t="n">
        <v>0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high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10</v>
      </c>
      <c r="AK8" s="2" t="n">
        <v>1</v>
      </c>
      <c r="AM8" t="inlineStr"/>
    </row>
    <row r="9">
      <c r="A9" t="inlineStr">
        <is>
          <t>Expected</t>
        </is>
      </c>
      <c r="B9" t="inlineStr">
        <is>
          <t>Simple agent 2</t>
        </is>
      </c>
      <c r="C9" t="inlineStr">
        <is>
          <t>Aggregate</t>
        </is>
      </c>
      <c r="D9" t="inlineStr">
        <is>
          <t>Category Fixture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</v>
      </c>
      <c r="I9" s="2" t="n">
        <v>1000</v>
      </c>
      <c r="J9" s="2" t="n">
        <v>500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1</v>
      </c>
      <c r="AC9" s="2" t="n">
        <v>30</v>
      </c>
      <c r="AD9" s="2" t="n">
        <v>0</v>
      </c>
      <c r="AE9" s="2" t="n">
        <v>1</v>
      </c>
      <c r="AF9" t="inlineStr">
        <is>
          <t>Research intensive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2</v>
      </c>
      <c r="AK9" s="2" t="n">
        <v>1</v>
      </c>
      <c r="AM9" t="inlineStr"/>
    </row>
    <row r="10">
      <c r="A10" t="inlineStr">
        <is>
          <t>High</t>
        </is>
      </c>
      <c r="B10" t="inlineStr">
        <is>
          <t>Simple agents</t>
        </is>
      </c>
      <c r="C10" t="inlineStr">
        <is>
          <t>Aggregate</t>
        </is>
      </c>
      <c r="D10" t="inlineStr">
        <is>
          <t>Category Fixture</t>
        </is>
      </c>
      <c r="E10" s="2" t="n">
        <v>1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3000</v>
      </c>
      <c r="J10" s="2" t="n">
        <v>750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1</v>
      </c>
      <c r="AB10" s="2" t="n">
        <v>1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M10" t="inlineStr"/>
    </row>
    <row r="11">
      <c r="A11" t="inlineStr">
        <is>
          <t>High</t>
        </is>
      </c>
      <c r="B11" t="inlineStr">
        <is>
          <t>Medium agents</t>
        </is>
      </c>
      <c r="C11" t="inlineStr">
        <is>
          <t>Aggregate</t>
        </is>
      </c>
      <c r="D11" t="inlineStr"/>
      <c r="E11" s="2" t="n">
        <v>0</v>
      </c>
      <c r="F11" s="2">
        <f>IF(Z11="daily_users",AA11*AB11*AC11,AD11)*AE11</f>
        <v/>
      </c>
      <c r="G11" s="2">
        <f>AJ11*AK11</f>
        <v/>
      </c>
      <c r="H11" s="2" t="n">
        <v>0.05</v>
      </c>
      <c r="I11" s="2" t="n">
        <v>9000</v>
      </c>
      <c r="J11" s="2" t="n">
        <v>1500</v>
      </c>
      <c r="K11" s="2" t="n">
        <v>0</v>
      </c>
      <c r="L11" s="2" t="n">
        <v>0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0</v>
      </c>
      <c r="AB11" s="2" t="n">
        <v>0</v>
      </c>
      <c r="AC11" s="2" t="n">
        <v>30</v>
      </c>
      <c r="AD11" s="2" t="n">
        <v>0</v>
      </c>
      <c r="AE11" s="2" t="n">
        <v>1</v>
      </c>
      <c r="AF11" t="inlineStr">
        <is>
          <t>medium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4</v>
      </c>
      <c r="AK11" s="2" t="n">
        <v>1</v>
      </c>
      <c r="AM11" t="inlineStr"/>
    </row>
    <row r="12">
      <c r="A12" t="inlineStr">
        <is>
          <t>High</t>
        </is>
      </c>
      <c r="B12" t="inlineStr">
        <is>
          <t>High agents</t>
        </is>
      </c>
      <c r="C12" t="inlineStr">
        <is>
          <t>Aggregate</t>
        </is>
      </c>
      <c r="D12" t="inlineStr"/>
      <c r="E12" s="2" t="n">
        <v>0</v>
      </c>
      <c r="F12" s="2">
        <f>IF(Z12="daily_users",AA12*AB12*AC12,AD12)*AE12</f>
        <v/>
      </c>
      <c r="G12" s="2">
        <f>AJ12*AK12</f>
        <v/>
      </c>
      <c r="H12" s="2" t="n">
        <v>0.1</v>
      </c>
      <c r="I12" s="2" t="n">
        <v>22500</v>
      </c>
      <c r="J12" s="2" t="n">
        <v>3000</v>
      </c>
      <c r="K12" s="2" t="n">
        <v>0</v>
      </c>
      <c r="L12" s="2" t="n">
        <v>0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daily_users</t>
        </is>
      </c>
      <c r="AA12" s="2" t="n">
        <v>0</v>
      </c>
      <c r="AB12" s="2" t="n">
        <v>0</v>
      </c>
      <c r="AC12" s="2" t="n">
        <v>30</v>
      </c>
      <c r="AD12" s="2" t="n">
        <v>0</v>
      </c>
      <c r="AE12" s="2" t="n">
        <v>1</v>
      </c>
      <c r="AF12" t="inlineStr">
        <is>
          <t>high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10</v>
      </c>
      <c r="AK12" s="2" t="n">
        <v>1</v>
      </c>
      <c r="AM12" t="inlineStr"/>
    </row>
    <row r="13">
      <c r="A13" t="inlineStr">
        <is>
          <t>High</t>
        </is>
      </c>
      <c r="B13" t="inlineStr">
        <is>
          <t>Simple agent 2</t>
        </is>
      </c>
      <c r="C13" t="inlineStr">
        <is>
          <t>Aggregate</t>
        </is>
      </c>
      <c r="D13" t="inlineStr">
        <is>
          <t>Category Fixture</t>
        </is>
      </c>
      <c r="E13" s="2" t="n">
        <v>1</v>
      </c>
      <c r="F13" s="2">
        <f>IF(Z13="daily_users",AA13*AB13*AC13,AD13)*AE13</f>
        <v/>
      </c>
      <c r="G13" s="2">
        <f>AJ13*AK13</f>
        <v/>
      </c>
      <c r="H13" s="2" t="n">
        <v>0</v>
      </c>
      <c r="I13" s="2" t="n">
        <v>1500</v>
      </c>
      <c r="J13" s="2" t="n">
        <v>750</v>
      </c>
      <c r="K13" s="2" t="n">
        <v>0</v>
      </c>
      <c r="L13" s="2" t="n">
        <v>0</v>
      </c>
      <c r="M13" s="2" t="n">
        <v>2</v>
      </c>
      <c r="N13" s="2" t="n">
        <v>8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daily_users</t>
        </is>
      </c>
      <c r="AA13" s="2" t="n">
        <v>1</v>
      </c>
      <c r="AB13" s="2" t="n">
        <v>1</v>
      </c>
      <c r="AC13" s="2" t="n">
        <v>30</v>
      </c>
      <c r="AD13" s="2" t="n">
        <v>0</v>
      </c>
      <c r="AE13" s="2" t="n">
        <v>1</v>
      </c>
      <c r="AF13" t="inlineStr">
        <is>
          <t>Research intensive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2</v>
      </c>
      <c r="AK13" s="2" t="n">
        <v>1</v>
      </c>
      <c r="AM13" t="inlineStr"/>
    </row>
  </sheetData>
  <autoFilter ref="A1:AM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</v>
      </c>
      <c r="O2" t="inlineStr">
        <is>
          <t>b6837f00-f73b-4494-b093-a33d4c7d07ad</t>
        </is>
      </c>
      <c r="P2" t="inlineStr">
        <is>
          <t>Business use case pending description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0</v>
      </c>
      <c r="N3" s="2" t="n">
        <v>0</v>
      </c>
      <c r="O3" t="inlineStr"/>
      <c r="P3" t="inlineStr"/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0</v>
      </c>
      <c r="N4" s="2" t="n">
        <v>0</v>
      </c>
      <c r="O4" t="inlineStr"/>
      <c r="P4" t="inlineStr"/>
    </row>
    <row r="5">
      <c r="A5" t="inlineStr">
        <is>
          <t>Simple agent 2</t>
        </is>
      </c>
      <c r="B5" t="inlineStr">
        <is>
          <t>Research intensive</t>
        </is>
      </c>
      <c r="C5" s="2" t="n">
        <v>1</v>
      </c>
      <c r="D5" s="2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daily_users</t>
        </is>
      </c>
      <c r="M5" s="2" t="n">
        <v>1</v>
      </c>
      <c r="N5" s="2" t="n">
        <v>1</v>
      </c>
      <c r="O5" t="inlineStr">
        <is>
          <t>0097cb1e-f6e0-4cb1-aba0-0133e697dc3f</t>
        </is>
      </c>
      <c r="P5" t="inlineStr">
        <is>
          <t>Business use case pending description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8956b06b-c919-4605-8090-79bec98cfb1a</t>
        </is>
      </c>
      <c r="B2" t="inlineStr">
        <is>
          <t>Simple agents</t>
        </is>
      </c>
      <c r="C2" t="inlineStr">
        <is>
          <t>b6837f00-f73b-4494-b093-a33d4c7d07ad</t>
        </is>
      </c>
      <c r="D2" t="inlineStr">
        <is>
          <t>Simple agent 1</t>
        </is>
      </c>
      <c r="E2" t="inlineStr">
        <is>
          <t>Business use case pending description</t>
        </is>
      </c>
    </row>
    <row r="3">
      <c r="A3" t="inlineStr">
        <is>
          <t>baa02f3a-986f-4516-90b2-8a62f201d2ab</t>
        </is>
      </c>
      <c r="B3" t="inlineStr">
        <is>
          <t>Simple agent 2</t>
        </is>
      </c>
      <c r="C3" t="inlineStr">
        <is>
          <t>0097cb1e-f6e0-4cb1-aba0-0133e697dc3f</t>
        </is>
      </c>
      <c r="D3" t="inlineStr">
        <is>
          <t>Simple agent 2</t>
        </is>
      </c>
      <c r="E3" t="inlineStr">
        <is>
          <t>Business use case pending description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1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8956b06b-c919-4605-8090-79bec98cfb1a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t="inlineStr">
        <is>
          <t>daily_users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689c9363-38bb-411b-9a4d-946a0ea2edac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t="inlineStr">
        <is>
          <t>daily_users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  <c r="K4" t="inlineStr">
        <is>
          <t>18f90d0c-22cd-4582-bbf6-45aa17032bf4</t>
        </is>
      </c>
    </row>
    <row r="5">
      <c r="A5" t="inlineStr">
        <is>
          <t>Simple agent 2</t>
        </is>
      </c>
      <c r="B5" t="inlineStr">
        <is>
          <t>Research intensive</t>
        </is>
      </c>
      <c r="C5" s="2" t="n">
        <v>1</v>
      </c>
      <c r="D5" t="inlineStr">
        <is>
          <t>daily_users</t>
        </is>
      </c>
      <c r="E5" s="2" t="n">
        <v>1</v>
      </c>
      <c r="F5" s="2" t="n">
        <v>1</v>
      </c>
      <c r="G5" s="2" t="n">
        <v>30</v>
      </c>
      <c r="H5" s="2" t="n">
        <v>0</v>
      </c>
      <c r="I5" s="2">
        <f>IF(D5="daily_users",E5*F5*G5,H5)</f>
        <v/>
      </c>
      <c r="J5" s="2">
        <f>C5*I5</f>
        <v/>
      </c>
      <c r="K5" t="inlineStr">
        <is>
          <t>baa02f3a-986f-4516-90b2-8a62f201d2ab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60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60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60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Simple agents</t>
        </is>
      </c>
      <c r="D2" s="2" t="n">
        <v>30</v>
      </c>
      <c r="E2" s="2" t="n">
        <v>0.006</v>
      </c>
      <c r="F2" s="2" t="n">
        <v>0</v>
      </c>
      <c r="G2" s="2" t="n">
        <v>0.006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Medium agents</t>
        </is>
      </c>
      <c r="D3" s="2" t="n">
        <v>0</v>
      </c>
      <c r="E3" s="2" t="n">
        <v>0</v>
      </c>
      <c r="F3" s="2" t="n">
        <v>0</v>
      </c>
      <c r="G3" s="2" t="n">
        <v>0</v>
      </c>
      <c r="H3" t="inlineStr">
        <is>
          <t>INCOMPLETE — known costs only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High agents</t>
        </is>
      </c>
      <c r="D4" s="2" t="n">
        <v>0</v>
      </c>
      <c r="E4" s="2" t="n">
        <v>0</v>
      </c>
      <c r="F4" s="2" t="n">
        <v>0</v>
      </c>
      <c r="G4" s="2" t="n">
        <v>0</v>
      </c>
      <c r="H4" t="inlineStr">
        <is>
          <t>INCOMPLETE — known costs only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Simple agent 2</t>
        </is>
      </c>
      <c r="C5" t="inlineStr">
        <is>
          <t>Simple agent 2</t>
        </is>
      </c>
      <c r="D5" s="2" t="n">
        <v>30</v>
      </c>
      <c r="E5" s="2" t="n">
        <v>0.008999999999999999</v>
      </c>
      <c r="F5" s="2" t="n">
        <v>0</v>
      </c>
      <c r="G5" s="2" t="n">
        <v>0.008999999999999999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Simple agents</t>
        </is>
      </c>
      <c r="C6" t="inlineStr">
        <is>
          <t>Simple agents</t>
        </is>
      </c>
      <c r="D6" s="2" t="n">
        <v>30</v>
      </c>
      <c r="E6" s="2" t="n">
        <v>0.008</v>
      </c>
      <c r="F6" s="2" t="n">
        <v>0</v>
      </c>
      <c r="G6" s="2" t="n">
        <v>0.008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Medium agents</t>
        </is>
      </c>
      <c r="C7" t="inlineStr">
        <is>
          <t>Medium agents</t>
        </is>
      </c>
      <c r="D7" s="2" t="n">
        <v>0</v>
      </c>
      <c r="E7" s="2" t="n">
        <v>0</v>
      </c>
      <c r="F7" s="2" t="n">
        <v>0</v>
      </c>
      <c r="G7" s="2" t="n">
        <v>0</v>
      </c>
      <c r="H7" t="inlineStr">
        <is>
          <t>INCOMPLETE — known costs only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High agents</t>
        </is>
      </c>
      <c r="C8" t="inlineStr">
        <is>
          <t>High agents</t>
        </is>
      </c>
      <c r="D8" s="2" t="n">
        <v>0</v>
      </c>
      <c r="E8" s="2" t="n">
        <v>0</v>
      </c>
      <c r="F8" s="2" t="n">
        <v>0</v>
      </c>
      <c r="G8" s="2" t="n">
        <v>0</v>
      </c>
      <c r="H8" t="inlineStr">
        <is>
          <t>INCOMPLETE — known costs only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Simple agent 2</t>
        </is>
      </c>
      <c r="C9" t="inlineStr">
        <is>
          <t>Simple agent 2</t>
        </is>
      </c>
      <c r="D9" s="2" t="n">
        <v>30</v>
      </c>
      <c r="E9" s="2" t="n">
        <v>0.012</v>
      </c>
      <c r="F9" s="2" t="n">
        <v>0</v>
      </c>
      <c r="G9" s="2" t="n">
        <v>0.012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Simple agents</t>
        </is>
      </c>
      <c r="C10" t="inlineStr">
        <is>
          <t>Simple agents</t>
        </is>
      </c>
      <c r="D10" s="2" t="n">
        <v>30</v>
      </c>
      <c r="E10" s="2" t="n">
        <v>0.012</v>
      </c>
      <c r="F10" s="2" t="n">
        <v>0</v>
      </c>
      <c r="G10" s="2" t="n">
        <v>0.012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Medium agents</t>
        </is>
      </c>
      <c r="C11" t="inlineStr">
        <is>
          <t>Medium agents</t>
        </is>
      </c>
      <c r="D11" s="2" t="n">
        <v>0</v>
      </c>
      <c r="E11" s="2" t="n">
        <v>0</v>
      </c>
      <c r="F11" s="2" t="n">
        <v>0</v>
      </c>
      <c r="G11" s="2" t="n">
        <v>0</v>
      </c>
      <c r="H11" t="inlineStr">
        <is>
          <t>INCOMPLETE — known costs only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High agents</t>
        </is>
      </c>
      <c r="C12" t="inlineStr">
        <is>
          <t>High agents</t>
        </is>
      </c>
      <c r="D12" s="2" t="n">
        <v>0</v>
      </c>
      <c r="E12" s="2" t="n">
        <v>0</v>
      </c>
      <c r="F12" s="2" t="n">
        <v>0</v>
      </c>
      <c r="G12" s="2" t="n">
        <v>0</v>
      </c>
      <c r="H12" t="inlineStr">
        <is>
          <t>INCOMPLETE — known costs only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Simple agent 2</t>
        </is>
      </c>
      <c r="C13" t="inlineStr">
        <is>
          <t>Simple agent 2</t>
        </is>
      </c>
      <c r="D13" s="2" t="n">
        <v>30</v>
      </c>
      <c r="E13" s="2" t="n">
        <v>0.018</v>
      </c>
      <c r="F13" s="2" t="n">
        <v>0</v>
      </c>
      <c r="G13" s="2" t="n">
        <v>0.018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  <row r="5">
      <c r="A5" t="inlineStr">
        <is>
          <t>Research intensive</t>
        </is>
      </c>
      <c r="B5" s="2">
        <f>SUMIF(Volume!B2:B5,A5,Volume!J2:J5)</f>
        <v/>
      </c>
    </row>
  </sheetData>
  <autoFilter ref="A1:B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SUMIFS(Calculations!R2:R13,Calculations!A2:A13,"Expected",Calculations!AF2:AF13,A2)</f>
        <v/>
      </c>
      <c r="C2" s="2">
        <f>SUMIFS(Calculations!S2:S13,Calculations!A2:A13,"Expected",Calculations!AF2:AF13,A2)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SUMIFS(Calculations!R2:R13,Calculations!A2:A13,"Expected",Calculations!AF2:AF13,A3)</f>
        <v/>
      </c>
      <c r="C3" s="2">
        <f>SUMIFS(Calculations!S2:S13,Calculations!A2:A13,"Expected",Calculations!AF2:AF13,A3)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SUMIFS(Calculations!R2:R13,Calculations!A2:A13,"Expected",Calculations!AF2:AF13,A4)</f>
        <v/>
      </c>
      <c r="C4" s="2">
        <f>SUMIFS(Calculations!S2:S13,Calculations!A2:A13,"Expected",Calculations!AF2:AF13,A4)</f>
        <v/>
      </c>
      <c r="D4" s="2">
        <f>B4+C4</f>
        <v/>
      </c>
      <c r="E4" s="2">
        <f>D4/F4</f>
        <v/>
      </c>
      <c r="F4" s="2" t="n">
        <v>30</v>
      </c>
    </row>
    <row r="5">
      <c r="A5" t="inlineStr">
        <is>
          <t>Research intensive</t>
        </is>
      </c>
      <c r="B5" s="2">
        <f>SUMIFS(Calculations!R2:R13,Calculations!A2:A13,"Expected",Calculations!AF2:AF13,A5)</f>
        <v/>
      </c>
      <c r="C5" s="2">
        <f>SUMIFS(Calculations!S2:S13,Calculations!A2:A13,"Expected",Calculations!AF2:AF13,A5)</f>
        <v/>
      </c>
      <c r="D5" s="2">
        <f>B5+C5</f>
        <v/>
      </c>
      <c r="E5" s="2">
        <f>D5/F5</f>
        <v/>
      </c>
      <c r="F5" s="2" t="n">
        <v>30</v>
      </c>
    </row>
  </sheetData>
  <autoFilter ref="A1:F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SUMIFS(Calculations!AG2:AG13,Calculations!A2:A13,"Expected",Calculations!AF2:AF13,A2)</f>
        <v/>
      </c>
      <c r="D2" s="2">
        <f>SUMIFS(Calculations!T2:T13,Calculations!A2:A13,"Expected",Calculations!AF2:AF13,A2)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SUMIFS(Calculations!AH2:AH13,Calculations!A2:A13,"Expected",Calculations!AF2:AF13,A3)</f>
        <v/>
      </c>
      <c r="D3" s="2">
        <f>SUMIFS(Calculations!V2:V13,Calculations!A2:A13,"Expected",Calculations!AF2:AF13,A3)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SUMIFS(Calculations!AI2:AI13,Calculations!A2:A13,"Expected",Calculations!AF2:AF13,A4)</f>
        <v/>
      </c>
      <c r="D4" s="2">
        <f>SUMIFS(Calculations!W2:W13,Calculations!A2:A13,"Expected",Calculations!AF2:AF13,A4)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SUMIFS(Calculations!S2:S13,Calculations!A2:A13,"Expected",Calculations!AF2:AF13,A5)</f>
        <v/>
      </c>
      <c r="D5" s="2">
        <f>SUMIFS(Calculations!U2:U13,Calculations!A2:A13,"Expected",Calculations!AF2:AF13,A5)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SUMIFS(Calculations!AG2:AG13,Calculations!A2:A13,"Expected",Calculations!AF2:AF13,A7)</f>
        <v/>
      </c>
      <c r="D7" s="2">
        <f>SUMIFS(Calculations!T2:T13,Calculations!A2:A13,"Expected",Calculations!AF2:AF13,A7)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SUMIFS(Calculations!AH2:AH13,Calculations!A2:A13,"Expected",Calculations!AF2:AF13,A8)</f>
        <v/>
      </c>
      <c r="D8" s="2">
        <f>SUMIFS(Calculations!V2:V13,Calculations!A2:A13,"Expected",Calculations!AF2:AF13,A8)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SUMIFS(Calculations!AI2:AI13,Calculations!A2:A13,"Expected",Calculations!AF2:AF13,A9)</f>
        <v/>
      </c>
      <c r="D9" s="2">
        <f>SUMIFS(Calculations!W2:W13,Calculations!A2:A13,"Expected",Calculations!AF2:AF13,A9)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SUMIFS(Calculations!S2:S13,Calculations!A2:A13,"Expected",Calculations!AF2:AF13,A10)</f>
        <v/>
      </c>
      <c r="D10" s="2">
        <f>SUMIFS(Calculations!U2:U13,Calculations!A2:A13,"Expected",Calculations!AF2:AF13,A10)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SUMIFS(Calculations!AG2:AG13,Calculations!A2:A13,"Expected",Calculations!AF2:AF13,A12)</f>
        <v/>
      </c>
      <c r="D12" s="2">
        <f>SUMIFS(Calculations!T2:T13,Calculations!A2:A13,"Expected",Calculations!AF2:AF13,A12)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SUMIFS(Calculations!AH2:AH13,Calculations!A2:A13,"Expected",Calculations!AF2:AF13,A13)</f>
        <v/>
      </c>
      <c r="D13" s="2">
        <f>SUMIFS(Calculations!V2:V13,Calculations!A2:A13,"Expected",Calculations!AF2:AF13,A13)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SUMIFS(Calculations!AI2:AI13,Calculations!A2:A13,"Expected",Calculations!AF2:AF13,A14)</f>
        <v/>
      </c>
      <c r="D14" s="2">
        <f>SUMIFS(Calculations!W2:W13,Calculations!A2:A13,"Expected",Calculations!AF2:AF13,A14)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SUMIFS(Calculations!S2:S13,Calculations!A2:A13,"Expected",Calculations!AF2:AF13,A15)</f>
        <v/>
      </c>
      <c r="D15" s="2">
        <f>SUMIFS(Calculations!U2:U13,Calculations!A2:A13,"Expected",Calculations!AF2:AF13,A15)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  <row r="17">
      <c r="A17" t="inlineStr">
        <is>
          <t>Research intensive</t>
        </is>
      </c>
      <c r="B17" t="inlineStr">
        <is>
          <t>Uncached input</t>
        </is>
      </c>
      <c r="C17" s="2">
        <f>SUMIFS(Calculations!AG2:AG13,Calculations!A2:A13,"Expected",Calculations!AF2:AF13,A17)</f>
        <v/>
      </c>
      <c r="D17" s="2">
        <f>SUMIFS(Calculations!T2:T13,Calculations!A2:A13,"Expected",Calculations!AF2:AF13,A17)</f>
        <v/>
      </c>
      <c r="E17" s="2">
        <f>IF(C17=0,"",D17*1000000/C17)</f>
        <v/>
      </c>
      <c r="F17" t="inlineStr">
        <is>
          <t>Complete</t>
        </is>
      </c>
      <c r="G17" s="2">
        <f>C17/I17</f>
        <v/>
      </c>
      <c r="H17" s="2">
        <f>D17/I17</f>
        <v/>
      </c>
      <c r="I17" s="2" t="n">
        <v>30</v>
      </c>
    </row>
    <row r="18">
      <c r="A18" t="inlineStr">
        <is>
          <t>Research intensive</t>
        </is>
      </c>
      <c r="B18" t="inlineStr">
        <is>
          <t>Cached input read</t>
        </is>
      </c>
      <c r="C18" s="2">
        <f>SUMIFS(Calculations!AH2:AH13,Calculations!A2:A13,"Expected",Calculations!AF2:AF13,A18)</f>
        <v/>
      </c>
      <c r="D18" s="2">
        <f>SUMIFS(Calculations!V2:V13,Calculations!A2:A13,"Expected",Calculations!AF2:AF13,A18)</f>
        <v/>
      </c>
      <c r="E18" s="2">
        <f>IF(C18=0,"",D18*1000000/C18)</f>
        <v/>
      </c>
      <c r="F18" t="inlineStr">
        <is>
          <t>Complete</t>
        </is>
      </c>
      <c r="G18" s="2">
        <f>C18/I18</f>
        <v/>
      </c>
      <c r="H18" s="2">
        <f>D18/I18</f>
        <v/>
      </c>
      <c r="I18" s="2" t="n">
        <v>30</v>
      </c>
    </row>
    <row r="19">
      <c r="A19" t="inlineStr">
        <is>
          <t>Research intensive</t>
        </is>
      </c>
      <c r="B19" t="inlineStr">
        <is>
          <t>Input cache write</t>
        </is>
      </c>
      <c r="C19" s="2">
        <f>SUMIFS(Calculations!AI2:AI13,Calculations!A2:A13,"Expected",Calculations!AF2:AF13,A19)</f>
        <v/>
      </c>
      <c r="D19" s="2">
        <f>SUMIFS(Calculations!W2:W13,Calculations!A2:A13,"Expected",Calculations!AF2:AF13,A19)</f>
        <v/>
      </c>
      <c r="E19" s="2">
        <f>IF(C19=0,"",D19*1000000/C19)</f>
        <v/>
      </c>
      <c r="F19" t="inlineStr">
        <is>
          <t>Complete</t>
        </is>
      </c>
      <c r="G19" s="2">
        <f>C19/I19</f>
        <v/>
      </c>
      <c r="H19" s="2">
        <f>D19/I19</f>
        <v/>
      </c>
      <c r="I19" s="2" t="n">
        <v>30</v>
      </c>
    </row>
    <row r="20">
      <c r="A20" t="inlineStr">
        <is>
          <t>Research intensive</t>
        </is>
      </c>
      <c r="B20" t="inlineStr">
        <is>
          <t>Output incl. reasoning</t>
        </is>
      </c>
      <c r="C20" s="2">
        <f>SUMIFS(Calculations!S2:S13,Calculations!A2:A13,"Expected",Calculations!AF2:AF13,A20)</f>
        <v/>
      </c>
      <c r="D20" s="2">
        <f>SUMIFS(Calculations!U2:U13,Calculations!A2:A13,"Expected",Calculations!AF2:AF13,A20)</f>
        <v/>
      </c>
      <c r="E20" s="2">
        <f>IF(C20=0,"",D20*1000000/C20)</f>
        <v/>
      </c>
      <c r="F20" t="inlineStr">
        <is>
          <t>Complete</t>
        </is>
      </c>
      <c r="G20" s="2">
        <f>C20/I20</f>
        <v/>
      </c>
      <c r="H20" s="2">
        <f>D20/I20</f>
        <v/>
      </c>
      <c r="I20" s="2" t="n">
        <v>30</v>
      </c>
    </row>
    <row r="21">
      <c r="A21" t="inlineStr">
        <is>
          <t>Research intensive</t>
        </is>
      </c>
      <c r="B21" t="inlineStr">
        <is>
          <t>Total</t>
        </is>
      </c>
      <c r="C21" s="2">
        <f>SUM(C17:C20)</f>
        <v/>
      </c>
      <c r="D21" s="2">
        <f>SUM(D17:D20)</f>
        <v/>
      </c>
      <c r="F21" t="inlineStr">
        <is>
          <t>Complete</t>
        </is>
      </c>
      <c r="G21" s="2">
        <f>C21/I21</f>
        <v/>
      </c>
      <c r="H21" s="2">
        <f>D21/I21</f>
        <v/>
      </c>
      <c r="I21" s="2" t="n">
        <v>30</v>
      </c>
    </row>
  </sheetData>
  <autoFilter ref="A1:I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Research intensive</t>
        </is>
      </c>
      <c r="B5" s="2">
        <f>'Category usage'!B5</f>
        <v/>
      </c>
      <c r="C5" s="2">
        <f>SUM('Category costs'!D17:D19)</f>
        <v/>
      </c>
      <c r="D5" s="2">
        <f>'Category usage'!C5</f>
        <v/>
      </c>
      <c r="E5" s="2">
        <f>'Category costs'!D20</f>
        <v/>
      </c>
      <c r="F5" s="2">
        <f>B5+D5</f>
        <v/>
      </c>
      <c r="G5" s="2">
        <f>C5+E5</f>
        <v/>
      </c>
      <c r="H5" t="inlineStr">
        <is>
          <t>Complete</t>
        </is>
      </c>
    </row>
    <row r="6">
      <c r="A6" t="inlineStr">
        <is>
          <t>Suite total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  <c r="F6" s="2">
        <f>B6+D6</f>
        <v/>
      </c>
      <c r="G6" s="2">
        <f>C6+E6</f>
        <v/>
      </c>
      <c r="H6" t="inlineStr">
        <is>
          <t>Complete</t>
        </is>
      </c>
    </row>
  </sheetData>
  <autoFilter ref="A1:H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Category Fixture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/>
    </row>
    <row r="5">
      <c r="A5" t="inlineStr">
        <is>
          <t>Research intensive</t>
        </is>
      </c>
      <c r="B5" t="inlineStr">
        <is>
          <t>2</t>
        </is>
      </c>
      <c r="C5" t="inlineStr">
        <is>
          <t>1000</t>
        </is>
      </c>
      <c r="D5" t="inlineStr">
        <is>
          <t>500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Category Fixture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Category Fixture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2026-10-04T01:29:12.897Z</t>
        </is>
      </c>
      <c r="I2" s="2" t="b">
        <v>1</v>
      </c>
      <c r="J2" t="inlineStr"/>
      <c r="K2" t="inlineStr"/>
      <c r="L2" t="inlineStr">
        <is>
          <t>custom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Custom category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7;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2026-10-04T01:29:14Z</dcterms:created>
  <dcterms:modified xsi:type="dcterms:W3CDTF">2026-10-04T01:29:14Z</dcterms:modified>
</cp:coreProperties>
</file>