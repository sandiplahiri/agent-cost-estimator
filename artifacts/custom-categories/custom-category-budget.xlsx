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Agent identities" sheetId="4" state="visible" r:id="rId4"/>
    <sheet name="Volume" sheetId="5" state="visible" r:id="rId5"/>
    <sheet name="Agent links" sheetId="6" state="visible" r:id="rId6"/>
    <sheet name="Tool costs" sheetId="7" state="visible" r:id="rId7"/>
    <sheet name="Harness" sheetId="8" state="visible" r:id="rId8"/>
    <sheet name="Use cases" sheetId="9" state="visible" r:id="rId9"/>
    <sheet name="Category totals" sheetId="10" state="visible" r:id="rId10"/>
    <sheet name="Category usage" sheetId="11" state="visible" r:id="rId11"/>
    <sheet name="Category costs" sheetId="12" state="visible" r:id="rId12"/>
    <sheet name="Monthly category summary" sheetId="13" state="visible" r:id="rId13"/>
    <sheet name="Profiles" sheetId="14" state="visible" r:id="rId14"/>
    <sheet name="Scenarios" sheetId="15" state="visible" r:id="rId15"/>
    <sheet name="Additional costs" sheetId="16" state="visible" r:id="rId16"/>
    <sheet name="Pricing" sheetId="17" state="visible" r:id="rId17"/>
    <sheet name="Read me" sheetId="18" state="visible" r:id="rId18"/>
  </sheets>
  <definedNames>
    <definedName name="_xlnm._FilterDatabase" localSheetId="0" hidden="1">'Summary'!$A$1:$J$4</definedName>
    <definedName name="_xlnm._FilterDatabase" localSheetId="1" hidden="1">'Calculations'!$A$1:$AM$13</definedName>
    <definedName name="_xlnm._FilterDatabase" localSheetId="2" hidden="1">'Agents'!$A$1:$P$5</definedName>
    <definedName name="_xlnm._FilterDatabase" localSheetId="3" hidden="1">'Agent identities'!$A$1:$E$3</definedName>
    <definedName name="_xlnm._FilterDatabase" localSheetId="4" hidden="1">'Volume'!$A$1:$L$5</definedName>
    <definedName name="_xlnm._FilterDatabase" localSheetId="5" hidden="1">'Agent links'!$A$1:$M$1</definedName>
    <definedName name="_xlnm._FilterDatabase" localSheetId="6" hidden="1">'Tool costs'!$A$1:$J$1</definedName>
    <definedName name="_xlnm._FilterDatabase" localSheetId="7" hidden="1">'Harness'!$A$1:$K$4</definedName>
    <definedName name="_xlnm._FilterDatabase" localSheetId="8" hidden="1">'Use cases'!$A$1:$I$13</definedName>
    <definedName name="_xlnm._FilterDatabase" localSheetId="9" hidden="1">'Category totals'!$A$1:$B$5</definedName>
    <definedName name="_xlnm._FilterDatabase" localSheetId="10" hidden="1">'Category usage'!$A$1:$F$5</definedName>
    <definedName name="_xlnm._FilterDatabase" localSheetId="11" hidden="1">'Category costs'!$A$1:$I$21</definedName>
    <definedName name="_xlnm._FilterDatabase" localSheetId="12" hidden="1">'Monthly category summary'!$A$1:$H$6</definedName>
    <definedName name="_xlnm._FilterDatabase" localSheetId="13" hidden="1">'Profiles'!$A$1:$G$5</definedName>
    <definedName name="_xlnm._FilterDatabase" localSheetId="14" hidden="1">'Scenarios'!$A$1:$G$4</definedName>
    <definedName name="_xlnm._FilterDatabase" localSheetId="15" hidden="1">'Additional costs'!$A$1:$A$1</definedName>
    <definedName name="_xlnm._FilterDatabase" localSheetId="16" hidden="1">'Pricing'!$A$1:$R$2</definedName>
    <definedName name="_xlnm._FilterDatabase" localSheetId="17" hidden="1">'Read me'!$A$1:$B$19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  <col width="19" customWidth="1" min="9" max="9"/>
    <col width="22" customWidth="1" min="10" max="10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  <c r="I1" s="1" t="inlineStr">
        <is>
          <t>Tool monthly USD</t>
        </is>
      </c>
      <c r="J1" s="1" t="inlineStr">
        <is>
          <t>Harness monthly USD</t>
        </is>
      </c>
    </row>
    <row r="2">
      <c r="A2" t="inlineStr">
        <is>
          <t>Low</t>
        </is>
      </c>
      <c r="B2" s="2">
        <f>SUM(Calculations!X2:X5)</f>
        <v/>
      </c>
      <c r="C2" s="2" t="n">
        <v>0</v>
      </c>
      <c r="D2" s="2">
        <f>B2+C2+I2+J2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  <c r="I2" s="2">
        <f>0</f>
        <v/>
      </c>
      <c r="J2" s="2">
        <f>Harness!I2</f>
        <v/>
      </c>
    </row>
    <row r="3">
      <c r="A3" t="inlineStr">
        <is>
          <t>Expected</t>
        </is>
      </c>
      <c r="B3" s="2">
        <f>SUM(Calculations!X6:X9)</f>
        <v/>
      </c>
      <c r="C3" s="2" t="n">
        <v>0</v>
      </c>
      <c r="D3" s="2">
        <f>B3+C3+I3+J3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  <c r="I3" s="2">
        <f>0</f>
        <v/>
      </c>
      <c r="J3" s="2">
        <f>Harness!I3</f>
        <v/>
      </c>
    </row>
    <row r="4">
      <c r="A4" t="inlineStr">
        <is>
          <t>High</t>
        </is>
      </c>
      <c r="B4" s="2">
        <f>SUM(Calculations!X10:X13)</f>
        <v/>
      </c>
      <c r="C4" s="2" t="n">
        <v>0</v>
      </c>
      <c r="D4" s="2">
        <f>B4+C4+I4+J4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  <c r="I4" s="2">
        <f>0</f>
        <v/>
      </c>
      <c r="J4" s="2">
        <f>Harness!I4</f>
        <v/>
      </c>
    </row>
  </sheetData>
  <autoFilter ref="A1:J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  <col width="38" customWidth="1" min="36" max="36"/>
    <col width="27" customWidth="1" min="37" max="37"/>
    <col width="16" customWidth="1" min="38" max="38"/>
    <col width="16" customWidth="1" min="39" max="39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  <c r="AJ1" s="1" t="inlineStr">
        <is>
          <t>Raw calls/occurrence after scenario</t>
        </is>
      </c>
      <c r="AK1" s="1" t="inlineStr">
        <is>
          <t>Step x model probability</t>
        </is>
      </c>
      <c r="AL1" s="1" t="inlineStr">
        <is>
          <t>Step ID</t>
        </is>
      </c>
      <c r="AM1" s="1" t="inlineStr">
        <is>
          <t>Model role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Category Fixture</t>
        </is>
      </c>
      <c r="E2" s="2" t="n">
        <v>1</v>
      </c>
      <c r="F2" s="2">
        <f>IF(Z2="daily_users",AA2*AB2*AC2,AD2)*AE2</f>
        <v/>
      </c>
      <c r="G2" s="2">
        <f>AJ2*AK2</f>
        <v/>
      </c>
      <c r="H2" s="2" t="n">
        <v>0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1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  <c r="AJ2" s="2" t="n">
        <v>1</v>
      </c>
      <c r="AK2" s="2" t="n">
        <v>1</v>
      </c>
      <c r="AM2" t="inlineStr"/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>
        <f>AJ3*AK3</f>
        <v/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  <c r="AJ3" s="2" t="n">
        <v>4</v>
      </c>
      <c r="AK3" s="2" t="n">
        <v>1</v>
      </c>
      <c r="AM3" t="inlineStr"/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>
        <f>AJ4*AK4</f>
        <v/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  <c r="AJ4" s="2" t="n">
        <v>10</v>
      </c>
      <c r="AK4" s="2" t="n">
        <v>1</v>
      </c>
      <c r="AM4" t="inlineStr"/>
    </row>
    <row r="5">
      <c r="A5" t="inlineStr">
        <is>
          <t>Low</t>
        </is>
      </c>
      <c r="B5" t="inlineStr">
        <is>
          <t>Simple agent 2</t>
        </is>
      </c>
      <c r="C5" t="inlineStr">
        <is>
          <t>Aggregate</t>
        </is>
      </c>
      <c r="D5" t="inlineStr">
        <is>
          <t>Category Fixture</t>
        </is>
      </c>
      <c r="E5" s="2" t="n">
        <v>1</v>
      </c>
      <c r="F5" s="2">
        <f>IF(Z5="daily_users",AA5*AB5*AC5,AD5)*AE5</f>
        <v/>
      </c>
      <c r="G5" s="2">
        <f>AJ5*AK5</f>
        <v/>
      </c>
      <c r="H5" s="2" t="n">
        <v>0</v>
      </c>
      <c r="I5" s="2" t="n">
        <v>750</v>
      </c>
      <c r="J5" s="2" t="n">
        <v>375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1</v>
      </c>
      <c r="AC5" s="2" t="n">
        <v>30</v>
      </c>
      <c r="AD5" s="2" t="n">
        <v>0</v>
      </c>
      <c r="AE5" s="2" t="n">
        <v>1</v>
      </c>
      <c r="AF5" t="inlineStr">
        <is>
          <t>Research intensive</t>
        </is>
      </c>
      <c r="AG5" s="2">
        <f>R5*(1-K5-L5)</f>
        <v/>
      </c>
      <c r="AH5" s="2">
        <f>R5*K5</f>
        <v/>
      </c>
      <c r="AI5" s="2">
        <f>R5*L5</f>
        <v/>
      </c>
      <c r="AJ5" s="2" t="n">
        <v>2</v>
      </c>
      <c r="AK5" s="2" t="n">
        <v>1</v>
      </c>
      <c r="AM5" t="inlineStr"/>
    </row>
    <row r="6">
      <c r="A6" t="inlineStr">
        <is>
          <t>Expected</t>
        </is>
      </c>
      <c r="B6" t="inlineStr">
        <is>
          <t>Simple agents</t>
        </is>
      </c>
      <c r="C6" t="inlineStr">
        <is>
          <t>Aggregate</t>
        </is>
      </c>
      <c r="D6" t="inlineStr">
        <is>
          <t>Category Fixture</t>
        </is>
      </c>
      <c r="E6" s="2" t="n">
        <v>1</v>
      </c>
      <c r="F6" s="2">
        <f>IF(Z6="daily_users",AA6*AB6*AC6,AD6)*AE6</f>
        <v/>
      </c>
      <c r="G6" s="2">
        <f>AJ6*AK6</f>
        <v/>
      </c>
      <c r="H6" s="2" t="n">
        <v>0</v>
      </c>
      <c r="I6" s="2" t="n">
        <v>2000</v>
      </c>
      <c r="J6" s="2" t="n">
        <v>500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1</v>
      </c>
      <c r="AC6" s="2" t="n">
        <v>30</v>
      </c>
      <c r="AD6" s="2" t="n">
        <v>0</v>
      </c>
      <c r="AE6" s="2" t="n">
        <v>1</v>
      </c>
      <c r="AF6" t="inlineStr">
        <is>
          <t>simple</t>
        </is>
      </c>
      <c r="AG6" s="2">
        <f>R6*(1-K6-L6)</f>
        <v/>
      </c>
      <c r="AH6" s="2">
        <f>R6*K6</f>
        <v/>
      </c>
      <c r="AI6" s="2">
        <f>R6*L6</f>
        <v/>
      </c>
      <c r="AJ6" s="2" t="n">
        <v>1</v>
      </c>
      <c r="AK6" s="2" t="n">
        <v>1</v>
      </c>
      <c r="AM6" t="inlineStr"/>
    </row>
    <row r="7">
      <c r="A7" t="inlineStr">
        <is>
          <t>Expected</t>
        </is>
      </c>
      <c r="B7" t="inlineStr">
        <is>
          <t>Medium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>
        <f>AJ7*AK7</f>
        <v/>
      </c>
      <c r="H7" s="2" t="n">
        <v>0.05</v>
      </c>
      <c r="I7" s="2" t="n">
        <v>6000</v>
      </c>
      <c r="J7" s="2" t="n">
        <v>1000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medium</t>
        </is>
      </c>
      <c r="AG7" s="2">
        <f>R7*(1-K7-L7)</f>
        <v/>
      </c>
      <c r="AH7" s="2">
        <f>R7*K7</f>
        <v/>
      </c>
      <c r="AI7" s="2">
        <f>R7*L7</f>
        <v/>
      </c>
      <c r="AJ7" s="2" t="n">
        <v>4</v>
      </c>
      <c r="AK7" s="2" t="n">
        <v>1</v>
      </c>
      <c r="AM7" t="inlineStr"/>
    </row>
    <row r="8">
      <c r="A8" t="inlineStr">
        <is>
          <t>Expected</t>
        </is>
      </c>
      <c r="B8" t="inlineStr">
        <is>
          <t>High agents</t>
        </is>
      </c>
      <c r="C8" t="inlineStr">
        <is>
          <t>Aggregate</t>
        </is>
      </c>
      <c r="D8" t="inlineStr"/>
      <c r="E8" s="2" t="n">
        <v>0</v>
      </c>
      <c r="F8" s="2">
        <f>IF(Z8="daily_users",AA8*AB8*AC8,AD8)*AE8</f>
        <v/>
      </c>
      <c r="G8" s="2">
        <f>AJ8*AK8</f>
        <v/>
      </c>
      <c r="H8" s="2" t="n">
        <v>0.1</v>
      </c>
      <c r="I8" s="2" t="n">
        <v>15000</v>
      </c>
      <c r="J8" s="2" t="n">
        <v>2000</v>
      </c>
      <c r="K8" s="2" t="n">
        <v>0</v>
      </c>
      <c r="L8" s="2" t="n">
        <v>0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0</v>
      </c>
      <c r="AB8" s="2" t="n">
        <v>0</v>
      </c>
      <c r="AC8" s="2" t="n">
        <v>30</v>
      </c>
      <c r="AD8" s="2" t="n">
        <v>0</v>
      </c>
      <c r="AE8" s="2" t="n">
        <v>1</v>
      </c>
      <c r="AF8" t="inlineStr">
        <is>
          <t>high</t>
        </is>
      </c>
      <c r="AG8" s="2">
        <f>R8*(1-K8-L8)</f>
        <v/>
      </c>
      <c r="AH8" s="2">
        <f>R8*K8</f>
        <v/>
      </c>
      <c r="AI8" s="2">
        <f>R8*L8</f>
        <v/>
      </c>
      <c r="AJ8" s="2" t="n">
        <v>10</v>
      </c>
      <c r="AK8" s="2" t="n">
        <v>1</v>
      </c>
      <c r="AM8" t="inlineStr"/>
    </row>
    <row r="9">
      <c r="A9" t="inlineStr">
        <is>
          <t>Expected</t>
        </is>
      </c>
      <c r="B9" t="inlineStr">
        <is>
          <t>Simple agent 2</t>
        </is>
      </c>
      <c r="C9" t="inlineStr">
        <is>
          <t>Aggregate</t>
        </is>
      </c>
      <c r="D9" t="inlineStr">
        <is>
          <t>Category Fixture</t>
        </is>
      </c>
      <c r="E9" s="2" t="n">
        <v>1</v>
      </c>
      <c r="F9" s="2">
        <f>IF(Z9="daily_users",AA9*AB9*AC9,AD9)*AE9</f>
        <v/>
      </c>
      <c r="G9" s="2">
        <f>AJ9*AK9</f>
        <v/>
      </c>
      <c r="H9" s="2" t="n">
        <v>0</v>
      </c>
      <c r="I9" s="2" t="n">
        <v>1000</v>
      </c>
      <c r="J9" s="2" t="n">
        <v>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1</v>
      </c>
      <c r="AC9" s="2" t="n">
        <v>30</v>
      </c>
      <c r="AD9" s="2" t="n">
        <v>0</v>
      </c>
      <c r="AE9" s="2" t="n">
        <v>1</v>
      </c>
      <c r="AF9" t="inlineStr">
        <is>
          <t>Research intensive</t>
        </is>
      </c>
      <c r="AG9" s="2">
        <f>R9*(1-K9-L9)</f>
        <v/>
      </c>
      <c r="AH9" s="2">
        <f>R9*K9</f>
        <v/>
      </c>
      <c r="AI9" s="2">
        <f>R9*L9</f>
        <v/>
      </c>
      <c r="AJ9" s="2" t="n">
        <v>2</v>
      </c>
      <c r="AK9" s="2" t="n">
        <v>1</v>
      </c>
      <c r="AM9" t="inlineStr"/>
    </row>
    <row r="10">
      <c r="A10" t="inlineStr">
        <is>
          <t>High</t>
        </is>
      </c>
      <c r="B10" t="inlineStr">
        <is>
          <t>Simple agents</t>
        </is>
      </c>
      <c r="C10" t="inlineStr">
        <is>
          <t>Aggregate</t>
        </is>
      </c>
      <c r="D10" t="inlineStr">
        <is>
          <t>Category Fixture</t>
        </is>
      </c>
      <c r="E10" s="2" t="n">
        <v>1</v>
      </c>
      <c r="F10" s="2">
        <f>IF(Z10="daily_users",AA10*AB10*AC10,AD10)*AE10</f>
        <v/>
      </c>
      <c r="G10" s="2">
        <f>AJ10*AK10</f>
        <v/>
      </c>
      <c r="H10" s="2" t="n">
        <v>0</v>
      </c>
      <c r="I10" s="2" t="n">
        <v>3000</v>
      </c>
      <c r="J10" s="2" t="n">
        <v>750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1</v>
      </c>
      <c r="AB10" s="2" t="n">
        <v>1</v>
      </c>
      <c r="AC10" s="2" t="n">
        <v>30</v>
      </c>
      <c r="AD10" s="2" t="n">
        <v>0</v>
      </c>
      <c r="AE10" s="2" t="n">
        <v>1</v>
      </c>
      <c r="AF10" t="inlineStr">
        <is>
          <t>simple</t>
        </is>
      </c>
      <c r="AG10" s="2">
        <f>R10*(1-K10-L10)</f>
        <v/>
      </c>
      <c r="AH10" s="2">
        <f>R10*K10</f>
        <v/>
      </c>
      <c r="AI10" s="2">
        <f>R10*L10</f>
        <v/>
      </c>
      <c r="AJ10" s="2" t="n">
        <v>1</v>
      </c>
      <c r="AK10" s="2" t="n">
        <v>1</v>
      </c>
      <c r="AM10" t="inlineStr"/>
    </row>
    <row r="11">
      <c r="A11" t="inlineStr">
        <is>
          <t>High</t>
        </is>
      </c>
      <c r="B11" t="inlineStr">
        <is>
          <t>Medium agents</t>
        </is>
      </c>
      <c r="C11" t="inlineStr">
        <is>
          <t>Aggregate</t>
        </is>
      </c>
      <c r="D11" t="inlineStr"/>
      <c r="E11" s="2" t="n">
        <v>0</v>
      </c>
      <c r="F11" s="2">
        <f>IF(Z11="daily_users",AA11*AB11*AC11,AD11)*AE11</f>
        <v/>
      </c>
      <c r="G11" s="2">
        <f>AJ11*AK11</f>
        <v/>
      </c>
      <c r="H11" s="2" t="n">
        <v>0.05</v>
      </c>
      <c r="I11" s="2" t="n">
        <v>9000</v>
      </c>
      <c r="J11" s="2" t="n">
        <v>1500</v>
      </c>
      <c r="K11" s="2" t="n">
        <v>0</v>
      </c>
      <c r="L11" s="2" t="n">
        <v>0</v>
      </c>
      <c r="Q11" s="2">
        <f>E11*F11*G11*(1+H11)</f>
        <v/>
      </c>
      <c r="R11" s="2">
        <f>Q11*I11</f>
        <v/>
      </c>
      <c r="S11" s="2">
        <f>Q11*J11</f>
        <v/>
      </c>
      <c r="T11" s="2">
        <f>R11*(1-K11-L11)*M11/1000000</f>
        <v/>
      </c>
      <c r="U11" s="2">
        <f>S11*N11/1000000</f>
        <v/>
      </c>
      <c r="V11" s="2">
        <f>R11*K11*O11/1000000</f>
        <v/>
      </c>
      <c r="W11" s="2">
        <f>R11*L11*P11/1000000</f>
        <v/>
      </c>
      <c r="X11" s="2">
        <f>SUM(T11:W11)</f>
        <v/>
      </c>
      <c r="Y11" t="inlineStr">
        <is>
          <t>Complete</t>
        </is>
      </c>
      <c r="Z11" t="inlineStr">
        <is>
          <t>daily_users</t>
        </is>
      </c>
      <c r="AA11" s="2" t="n">
        <v>0</v>
      </c>
      <c r="AB11" s="2" t="n">
        <v>0</v>
      </c>
      <c r="AC11" s="2" t="n">
        <v>30</v>
      </c>
      <c r="AD11" s="2" t="n">
        <v>0</v>
      </c>
      <c r="AE11" s="2" t="n">
        <v>1</v>
      </c>
      <c r="AF11" t="inlineStr">
        <is>
          <t>medium</t>
        </is>
      </c>
      <c r="AG11" s="2">
        <f>R11*(1-K11-L11)</f>
        <v/>
      </c>
      <c r="AH11" s="2">
        <f>R11*K11</f>
        <v/>
      </c>
      <c r="AI11" s="2">
        <f>R11*L11</f>
        <v/>
      </c>
      <c r="AJ11" s="2" t="n">
        <v>4</v>
      </c>
      <c r="AK11" s="2" t="n">
        <v>1</v>
      </c>
      <c r="AM11" t="inlineStr"/>
    </row>
    <row r="12">
      <c r="A12" t="inlineStr">
        <is>
          <t>High</t>
        </is>
      </c>
      <c r="B12" t="inlineStr">
        <is>
          <t>High agents</t>
        </is>
      </c>
      <c r="C12" t="inlineStr">
        <is>
          <t>Aggregate</t>
        </is>
      </c>
      <c r="D12" t="inlineStr"/>
      <c r="E12" s="2" t="n">
        <v>0</v>
      </c>
      <c r="F12" s="2">
        <f>IF(Z12="daily_users",AA12*AB12*AC12,AD12)*AE12</f>
        <v/>
      </c>
      <c r="G12" s="2">
        <f>AJ12*AK12</f>
        <v/>
      </c>
      <c r="H12" s="2" t="n">
        <v>0.1</v>
      </c>
      <c r="I12" s="2" t="n">
        <v>22500</v>
      </c>
      <c r="J12" s="2" t="n">
        <v>3000</v>
      </c>
      <c r="K12" s="2" t="n">
        <v>0</v>
      </c>
      <c r="L12" s="2" t="n">
        <v>0</v>
      </c>
      <c r="Q12" s="2">
        <f>E12*F12*G12*(1+H12)</f>
        <v/>
      </c>
      <c r="R12" s="2">
        <f>Q12*I12</f>
        <v/>
      </c>
      <c r="S12" s="2">
        <f>Q12*J12</f>
        <v/>
      </c>
      <c r="T12" s="2">
        <f>R12*(1-K12-L12)*M12/1000000</f>
        <v/>
      </c>
      <c r="U12" s="2">
        <f>S12*N12/1000000</f>
        <v/>
      </c>
      <c r="V12" s="2">
        <f>R12*K12*O12/1000000</f>
        <v/>
      </c>
      <c r="W12" s="2">
        <f>R12*L12*P12/1000000</f>
        <v/>
      </c>
      <c r="X12" s="2">
        <f>SUM(T12:W12)</f>
        <v/>
      </c>
      <c r="Y12" t="inlineStr">
        <is>
          <t>Complete</t>
        </is>
      </c>
      <c r="Z12" t="inlineStr">
        <is>
          <t>daily_users</t>
        </is>
      </c>
      <c r="AA12" s="2" t="n">
        <v>0</v>
      </c>
      <c r="AB12" s="2" t="n">
        <v>0</v>
      </c>
      <c r="AC12" s="2" t="n">
        <v>30</v>
      </c>
      <c r="AD12" s="2" t="n">
        <v>0</v>
      </c>
      <c r="AE12" s="2" t="n">
        <v>1</v>
      </c>
      <c r="AF12" t="inlineStr">
        <is>
          <t>high</t>
        </is>
      </c>
      <c r="AG12" s="2">
        <f>R12*(1-K12-L12)</f>
        <v/>
      </c>
      <c r="AH12" s="2">
        <f>R12*K12</f>
        <v/>
      </c>
      <c r="AI12" s="2">
        <f>R12*L12</f>
        <v/>
      </c>
      <c r="AJ12" s="2" t="n">
        <v>10</v>
      </c>
      <c r="AK12" s="2" t="n">
        <v>1</v>
      </c>
      <c r="AM12" t="inlineStr"/>
    </row>
    <row r="13">
      <c r="A13" t="inlineStr">
        <is>
          <t>High</t>
        </is>
      </c>
      <c r="B13" t="inlineStr">
        <is>
          <t>Simple agent 2</t>
        </is>
      </c>
      <c r="C13" t="inlineStr">
        <is>
          <t>Aggregate</t>
        </is>
      </c>
      <c r="D13" t="inlineStr">
        <is>
          <t>Category Fixture</t>
        </is>
      </c>
      <c r="E13" s="2" t="n">
        <v>1</v>
      </c>
      <c r="F13" s="2">
        <f>IF(Z13="daily_users",AA13*AB13*AC13,AD13)*AE13</f>
        <v/>
      </c>
      <c r="G13" s="2">
        <f>AJ13*AK13</f>
        <v/>
      </c>
      <c r="H13" s="2" t="n">
        <v>0</v>
      </c>
      <c r="I13" s="2" t="n">
        <v>1500</v>
      </c>
      <c r="J13" s="2" t="n">
        <v>750</v>
      </c>
      <c r="K13" s="2" t="n">
        <v>0</v>
      </c>
      <c r="L13" s="2" t="n">
        <v>0</v>
      </c>
      <c r="M13" s="2" t="n">
        <v>2</v>
      </c>
      <c r="N13" s="2" t="n">
        <v>8</v>
      </c>
      <c r="Q13" s="2">
        <f>E13*F13*G13*(1+H13)</f>
        <v/>
      </c>
      <c r="R13" s="2">
        <f>Q13*I13</f>
        <v/>
      </c>
      <c r="S13" s="2">
        <f>Q13*J13</f>
        <v/>
      </c>
      <c r="T13" s="2">
        <f>R13*(1-K13-L13)*M13/1000000</f>
        <v/>
      </c>
      <c r="U13" s="2">
        <f>S13*N13/1000000</f>
        <v/>
      </c>
      <c r="V13" s="2">
        <f>R13*K13*O13/1000000</f>
        <v/>
      </c>
      <c r="W13" s="2">
        <f>R13*L13*P13/1000000</f>
        <v/>
      </c>
      <c r="X13" s="2">
        <f>SUM(T13:W13)</f>
        <v/>
      </c>
      <c r="Y13" t="inlineStr">
        <is>
          <t>Complete</t>
        </is>
      </c>
      <c r="Z13" t="inlineStr">
        <is>
          <t>daily_users</t>
        </is>
      </c>
      <c r="AA13" s="2" t="n">
        <v>1</v>
      </c>
      <c r="AB13" s="2" t="n">
        <v>1</v>
      </c>
      <c r="AC13" s="2" t="n">
        <v>30</v>
      </c>
      <c r="AD13" s="2" t="n">
        <v>0</v>
      </c>
      <c r="AE13" s="2" t="n">
        <v>1</v>
      </c>
      <c r="AF13" t="inlineStr">
        <is>
          <t>Research intensive</t>
        </is>
      </c>
      <c r="AG13" s="2">
        <f>R13*(1-K13-L13)</f>
        <v/>
      </c>
      <c r="AH13" s="2">
        <f>R13*K13</f>
        <v/>
      </c>
      <c r="AI13" s="2">
        <f>R13*L13</f>
        <v/>
      </c>
      <c r="AJ13" s="2" t="n">
        <v>2</v>
      </c>
      <c r="AK13" s="2" t="n">
        <v>1</v>
      </c>
      <c r="AM13" t="inlineStr"/>
    </row>
  </sheetData>
  <autoFilter ref="A1:AM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  <col width="16" customWidth="1" min="15" max="15"/>
    <col width="32" customWidth="1" min="16" max="16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  <c r="O1" s="1" t="inlineStr">
        <is>
          <t>agent_id</t>
        </is>
      </c>
      <c r="P1" s="1" t="inlineStr">
        <is>
          <t>business_use_case_description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s="2" t="n">
        <v>0</v>
      </c>
      <c r="E2" t="inlineStr">
        <is>
          <t>Category Fixture</t>
        </is>
      </c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1</v>
      </c>
      <c r="O2" t="inlineStr">
        <is>
          <t>d4d37538-c198-4e52-b943-40655bf87853</t>
        </is>
      </c>
      <c r="P2" t="inlineStr">
        <is>
          <t>Business use case pending description</t>
        </is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  <c r="O3" t="inlineStr"/>
      <c r="P3" t="inlineStr"/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  <c r="O4" t="inlineStr"/>
      <c r="P4" t="inlineStr"/>
    </row>
    <row r="5">
      <c r="A5" t="inlineStr">
        <is>
          <t>Simple agent 2</t>
        </is>
      </c>
      <c r="B5" t="inlineStr">
        <is>
          <t>Research intensive</t>
        </is>
      </c>
      <c r="C5" s="2" t="n">
        <v>1</v>
      </c>
      <c r="D5" s="2" t="n">
        <v>0</v>
      </c>
      <c r="E5" t="inlineStr">
        <is>
          <t>Category Fixture</t>
        </is>
      </c>
      <c r="F5" t="inlineStr"/>
      <c r="G5" t="inlineStr"/>
      <c r="H5" t="inlineStr"/>
      <c r="I5" t="inlineStr"/>
      <c r="J5" t="inlineStr"/>
      <c r="K5" t="inlineStr"/>
      <c r="L5" t="inlineStr">
        <is>
          <t>daily_users</t>
        </is>
      </c>
      <c r="M5" s="2" t="n">
        <v>1</v>
      </c>
      <c r="N5" s="2" t="n">
        <v>1</v>
      </c>
      <c r="O5" t="inlineStr">
        <is>
          <t>ee2a3270-28d1-454f-ab95-2c2f5f978ec0</t>
        </is>
      </c>
      <c r="P5" t="inlineStr">
        <is>
          <t>Business use case pending description</t>
        </is>
      </c>
    </row>
  </sheetData>
  <autoFilter ref="A1:P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32" customWidth="1" min="5" max="5"/>
  </cols>
  <sheetData>
    <row r="1" ht="32" customHeight="1">
      <c r="A1" s="1" t="inlineStr">
        <is>
          <t>Group ID</t>
        </is>
      </c>
      <c r="B1" s="1" t="inlineStr">
        <is>
          <t>Group name</t>
        </is>
      </c>
      <c r="C1" s="1" t="inlineStr">
        <is>
          <t>Agent ID</t>
        </is>
      </c>
      <c r="D1" s="1" t="inlineStr">
        <is>
          <t>Agent name</t>
        </is>
      </c>
      <c r="E1" s="1" t="inlineStr">
        <is>
          <t>Business use case description</t>
        </is>
      </c>
    </row>
    <row r="2">
      <c r="A2" t="inlineStr">
        <is>
          <t>7542484a-1920-41ab-954f-367b4f319a9e</t>
        </is>
      </c>
      <c r="B2" t="inlineStr">
        <is>
          <t>Simple agents</t>
        </is>
      </c>
      <c r="C2" t="inlineStr">
        <is>
          <t>d4d37538-c198-4e52-b943-40655bf87853</t>
        </is>
      </c>
      <c r="D2" t="inlineStr">
        <is>
          <t>Simple agent 1</t>
        </is>
      </c>
      <c r="E2" t="inlineStr">
        <is>
          <t>Business use case pending description</t>
        </is>
      </c>
    </row>
    <row r="3">
      <c r="A3" t="inlineStr">
        <is>
          <t>d37dc99b-e13a-429d-b3d4-6e62b4545d4d</t>
        </is>
      </c>
      <c r="B3" t="inlineStr">
        <is>
          <t>Simple agent 2</t>
        </is>
      </c>
      <c r="C3" t="inlineStr">
        <is>
          <t>ee2a3270-28d1-454f-ab95-2c2f5f978ec0</t>
        </is>
      </c>
      <c r="D3" t="inlineStr">
        <is>
          <t>Simple agent 2</t>
        </is>
      </c>
      <c r="E3" t="inlineStr">
        <is>
          <t>Business use case pending description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1</v>
      </c>
      <c r="D2" t="inlineStr">
        <is>
          <t>daily_users</t>
        </is>
      </c>
      <c r="E2" s="2" t="n">
        <v>1</v>
      </c>
      <c r="F2" s="2" t="n">
        <v>1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7542484a-1920-41ab-954f-367b4f319a9e</t>
        </is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  <c r="K3" t="inlineStr">
        <is>
          <t>e8ec7c95-429a-4c6d-8f9b-94e2b29e7d85</t>
        </is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  <c r="K4" t="inlineStr">
        <is>
          <t>9a898c20-7396-462e-812a-eec53deeca99</t>
        </is>
      </c>
    </row>
    <row r="5">
      <c r="A5" t="inlineStr">
        <is>
          <t>Simple agent 2</t>
        </is>
      </c>
      <c r="B5" t="inlineStr">
        <is>
          <t>Research intensive</t>
        </is>
      </c>
      <c r="C5" s="2" t="n">
        <v>1</v>
      </c>
      <c r="D5" t="inlineStr">
        <is>
          <t>daily_users</t>
        </is>
      </c>
      <c r="E5" s="2" t="n">
        <v>1</v>
      </c>
      <c r="F5" s="2" t="n">
        <v>1</v>
      </c>
      <c r="G5" s="2" t="n">
        <v>30</v>
      </c>
      <c r="H5" s="2" t="n">
        <v>0</v>
      </c>
      <c r="I5" s="2">
        <f>IF(D5="daily_users",E5*F5*G5,H5)</f>
        <v/>
      </c>
      <c r="J5" s="2">
        <f>C5*I5</f>
        <v/>
      </c>
      <c r="K5" t="inlineStr">
        <is>
          <t>d37dc99b-e13a-429d-b3d4-6e62b4545d4d</t>
        </is>
      </c>
    </row>
  </sheetData>
  <autoFilter ref="A1:L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9" customWidth="1" min="13" max="13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  <c r="M1" s="1" t="inlineStr">
        <is>
          <t>Step execution probability</t>
        </is>
      </c>
    </row>
  </sheetData>
  <autoFilter ref="A1:M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19" customWidth="1" min="5" max="5"/>
    <col width="19" customWidth="1" min="6" max="6"/>
    <col width="19" customWidth="1" min="7" max="7"/>
    <col width="16" customWidth="1" min="8" max="8"/>
    <col width="16" customWidth="1" min="9" max="9"/>
    <col width="16" customWidth="1" min="10" max="10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Tool</t>
        </is>
      </c>
      <c r="D1" s="1" t="inlineStr">
        <is>
          <t>Monthly invocations</t>
        </is>
      </c>
      <c r="E1" s="1" t="inlineStr">
        <is>
          <t>Step probability</t>
        </is>
      </c>
      <c r="F1" s="1" t="inlineStr">
        <is>
          <t>Tool probability</t>
        </is>
      </c>
      <c r="G1" s="1" t="inlineStr">
        <is>
          <t>Units/invocation</t>
        </is>
      </c>
      <c r="H1" s="1" t="inlineStr">
        <is>
          <t>USD/unit</t>
        </is>
      </c>
      <c r="I1" s="1" t="inlineStr">
        <is>
          <t>Monthly USD</t>
        </is>
      </c>
      <c r="J1" s="1" t="inlineStr">
        <is>
          <t>Step ID</t>
        </is>
      </c>
    </row>
  </sheetData>
  <autoFilter ref="A1:J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0" customWidth="1" min="5" max="5"/>
    <col width="17" customWidth="1" min="6" max="6"/>
    <col width="24" customWidth="1" min="7" max="7"/>
    <col width="16" customWidth="1" min="8" max="8"/>
    <col width="16" customWidth="1" min="9" max="9"/>
    <col width="16" customWidth="1" min="10" max="10"/>
    <col width="27" customWidth="1" min="11" max="11"/>
  </cols>
  <sheetData>
    <row r="1" ht="32" customHeight="1">
      <c r="A1" s="1" t="inlineStr">
        <is>
          <t>Scenario</t>
        </is>
      </c>
      <c r="B1" s="1" t="inlineStr">
        <is>
          <t>Harness type</t>
        </is>
      </c>
      <c r="C1" s="1" t="inlineStr">
        <is>
          <t>Name</t>
        </is>
      </c>
      <c r="D1" s="1" t="inlineStr">
        <is>
          <t>Fixed USD/month</t>
        </is>
      </c>
      <c r="E1" s="1" t="inlineStr">
        <is>
          <t>Invocations/month</t>
        </is>
      </c>
      <c r="F1" s="1" t="inlineStr">
        <is>
          <t>USD/invocation</t>
        </is>
      </c>
      <c r="G1" s="1" t="inlineStr">
        <is>
          <t>Step executions/month</t>
        </is>
      </c>
      <c r="H1" s="1" t="inlineStr">
        <is>
          <t>USD/step</t>
        </is>
      </c>
      <c r="I1" s="1" t="inlineStr">
        <is>
          <t>Monthly USD</t>
        </is>
      </c>
      <c r="J1" s="1" t="inlineStr">
        <is>
          <t>Allocation</t>
        </is>
      </c>
      <c r="K1" s="1" t="inlineStr">
        <is>
          <t>Include in use-case cost</t>
        </is>
      </c>
    </row>
    <row r="2">
      <c r="A2" t="inlineStr">
        <is>
          <t>Low</t>
        </is>
      </c>
      <c r="B2" t="inlineStr">
        <is>
          <t>none</t>
        </is>
      </c>
      <c r="C2" t="inlineStr">
        <is>
          <t>Agent harness</t>
        </is>
      </c>
      <c r="D2" s="2" t="n">
        <v>0</v>
      </c>
      <c r="E2" s="2" t="n">
        <v>60</v>
      </c>
      <c r="F2" s="2" t="n">
        <v>0</v>
      </c>
      <c r="G2" s="2" t="n">
        <v>0</v>
      </c>
      <c r="H2" s="2" t="n">
        <v>0</v>
      </c>
      <c r="I2" s="2">
        <f>IF(B2="none",0,D2+E2*F2+G2*H2)</f>
        <v/>
      </c>
      <c r="J2" t="inlineStr">
        <is>
          <t>by_invocations</t>
        </is>
      </c>
      <c r="K2" s="2" t="b">
        <v>1</v>
      </c>
    </row>
    <row r="3">
      <c r="A3" t="inlineStr">
        <is>
          <t>Expected</t>
        </is>
      </c>
      <c r="B3" t="inlineStr">
        <is>
          <t>none</t>
        </is>
      </c>
      <c r="C3" t="inlineStr">
        <is>
          <t>Agent harness</t>
        </is>
      </c>
      <c r="D3" s="2" t="n">
        <v>0</v>
      </c>
      <c r="E3" s="2" t="n">
        <v>60</v>
      </c>
      <c r="F3" s="2" t="n">
        <v>0</v>
      </c>
      <c r="G3" s="2" t="n">
        <v>0</v>
      </c>
      <c r="H3" s="2" t="n">
        <v>0</v>
      </c>
      <c r="I3" s="2">
        <f>IF(B3="none",0,D3+E3*F3+G3*H3)</f>
        <v/>
      </c>
      <c r="J3" t="inlineStr">
        <is>
          <t>by_invocations</t>
        </is>
      </c>
      <c r="K3" s="2" t="b">
        <v>1</v>
      </c>
    </row>
    <row r="4">
      <c r="A4" t="inlineStr">
        <is>
          <t>High</t>
        </is>
      </c>
      <c r="B4" t="inlineStr">
        <is>
          <t>none</t>
        </is>
      </c>
      <c r="C4" t="inlineStr">
        <is>
          <t>Agent harness</t>
        </is>
      </c>
      <c r="D4" s="2" t="n">
        <v>0</v>
      </c>
      <c r="E4" s="2" t="n">
        <v>60</v>
      </c>
      <c r="F4" s="2" t="n">
        <v>0</v>
      </c>
      <c r="G4" s="2" t="n">
        <v>0</v>
      </c>
      <c r="H4" s="2" t="n">
        <v>0</v>
      </c>
      <c r="I4" s="2">
        <f>IF(B4="none",0,D4+E4*F4+G4*H4)</f>
        <v/>
      </c>
      <c r="J4" t="inlineStr">
        <is>
          <t>by_invocations</t>
        </is>
      </c>
      <c r="K4" s="2" t="b">
        <v>1</v>
      </c>
    </row>
  </sheetData>
  <autoFilter ref="A1:K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  <col width="24" customWidth="1" min="5" max="5"/>
    <col width="25" customWidth="1" min="6" max="6"/>
    <col width="24" customWidth="1" min="7" max="7"/>
    <col width="16" customWidth="1" min="8" max="8"/>
    <col width="19" customWidth="1" min="9" max="9"/>
  </cols>
  <sheetData>
    <row r="1" ht="32" customHeight="1">
      <c r="A1" s="1" t="inlineStr">
        <is>
          <t>Scenario</t>
        </is>
      </c>
      <c r="B1" s="1" t="inlineStr">
        <is>
          <t>Agent</t>
        </is>
      </c>
      <c r="C1" s="1" t="inlineStr">
        <is>
          <t>Use case</t>
        </is>
      </c>
      <c r="D1" s="1" t="inlineStr">
        <is>
          <t>Monthly completions</t>
        </is>
      </c>
      <c r="E1" s="1" t="inlineStr">
        <is>
          <t>Direct USD/completion</t>
        </is>
      </c>
      <c r="F1" s="1" t="inlineStr">
        <is>
          <t>Harness USD/completion</t>
        </is>
      </c>
      <c r="G1" s="1" t="inlineStr">
        <is>
          <t>Loaded USD/completion</t>
        </is>
      </c>
      <c r="H1" s="1" t="inlineStr">
        <is>
          <t>Status</t>
        </is>
      </c>
      <c r="I1" s="1" t="inlineStr">
        <is>
          <t>Calculation path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Simple agents</t>
        </is>
      </c>
      <c r="D2" s="2" t="n">
        <v>30</v>
      </c>
      <c r="E2" s="2" t="n">
        <v>0.006</v>
      </c>
      <c r="F2" s="2" t="n">
        <v>0</v>
      </c>
      <c r="G2" s="2" t="n">
        <v>0.006</v>
      </c>
      <c r="H2" t="inlineStr">
        <is>
          <t>Complete</t>
        </is>
      </c>
      <c r="I2" t="inlineStr">
        <is>
          <t>Precomputed DAG rollup; inputs and direct calculations in other sheets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Medium agents</t>
        </is>
      </c>
      <c r="D3" s="2" t="n">
        <v>0</v>
      </c>
      <c r="E3" s="2" t="n">
        <v>0</v>
      </c>
      <c r="F3" s="2" t="n">
        <v>0</v>
      </c>
      <c r="G3" s="2" t="n">
        <v>0</v>
      </c>
      <c r="H3" t="inlineStr">
        <is>
          <t>INCOMPLETE — known costs only</t>
        </is>
      </c>
      <c r="I3" t="inlineStr">
        <is>
          <t>Precomputed DAG rollup; inputs and direct calculations in other sheets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High agents</t>
        </is>
      </c>
      <c r="D4" s="2" t="n">
        <v>0</v>
      </c>
      <c r="E4" s="2" t="n">
        <v>0</v>
      </c>
      <c r="F4" s="2" t="n">
        <v>0</v>
      </c>
      <c r="G4" s="2" t="n">
        <v>0</v>
      </c>
      <c r="H4" t="inlineStr">
        <is>
          <t>INCOMPLETE — known costs only</t>
        </is>
      </c>
      <c r="I4" t="inlineStr">
        <is>
          <t>Precomputed DAG rollup; inputs and direct calculations in other sheets</t>
        </is>
      </c>
    </row>
    <row r="5">
      <c r="A5" t="inlineStr">
        <is>
          <t>Low</t>
        </is>
      </c>
      <c r="B5" t="inlineStr">
        <is>
          <t>Simple agent 2</t>
        </is>
      </c>
      <c r="C5" t="inlineStr">
        <is>
          <t>Simple agent 2</t>
        </is>
      </c>
      <c r="D5" s="2" t="n">
        <v>30</v>
      </c>
      <c r="E5" s="2" t="n">
        <v>0.008999999999999999</v>
      </c>
      <c r="F5" s="2" t="n">
        <v>0</v>
      </c>
      <c r="G5" s="2" t="n">
        <v>0.008999999999999999</v>
      </c>
      <c r="H5" t="inlineStr">
        <is>
          <t>Complete</t>
        </is>
      </c>
      <c r="I5" t="inlineStr">
        <is>
          <t>Precomputed DAG rollup; inputs and direct calculations in other sheets</t>
        </is>
      </c>
    </row>
    <row r="6">
      <c r="A6" t="inlineStr">
        <is>
          <t>Expected</t>
        </is>
      </c>
      <c r="B6" t="inlineStr">
        <is>
          <t>Simple agents</t>
        </is>
      </c>
      <c r="C6" t="inlineStr">
        <is>
          <t>Simple agents</t>
        </is>
      </c>
      <c r="D6" s="2" t="n">
        <v>30</v>
      </c>
      <c r="E6" s="2" t="n">
        <v>0.008</v>
      </c>
      <c r="F6" s="2" t="n">
        <v>0</v>
      </c>
      <c r="G6" s="2" t="n">
        <v>0.008</v>
      </c>
      <c r="H6" t="inlineStr">
        <is>
          <t>Complete</t>
        </is>
      </c>
      <c r="I6" t="inlineStr">
        <is>
          <t>Precomputed DAG rollup; inputs and direct calculations in other sheets</t>
        </is>
      </c>
    </row>
    <row r="7">
      <c r="A7" t="inlineStr">
        <is>
          <t>Expected</t>
        </is>
      </c>
      <c r="B7" t="inlineStr">
        <is>
          <t>Medium agents</t>
        </is>
      </c>
      <c r="C7" t="inlineStr">
        <is>
          <t>Medium agents</t>
        </is>
      </c>
      <c r="D7" s="2" t="n">
        <v>0</v>
      </c>
      <c r="E7" s="2" t="n">
        <v>0</v>
      </c>
      <c r="F7" s="2" t="n">
        <v>0</v>
      </c>
      <c r="G7" s="2" t="n">
        <v>0</v>
      </c>
      <c r="H7" t="inlineStr">
        <is>
          <t>INCOMPLETE — known costs only</t>
        </is>
      </c>
      <c r="I7" t="inlineStr">
        <is>
          <t>Precomputed DAG rollup; inputs and direct calculations in other sheets</t>
        </is>
      </c>
    </row>
    <row r="8">
      <c r="A8" t="inlineStr">
        <is>
          <t>Expected</t>
        </is>
      </c>
      <c r="B8" t="inlineStr">
        <is>
          <t>High agents</t>
        </is>
      </c>
      <c r="C8" t="inlineStr">
        <is>
          <t>High agents</t>
        </is>
      </c>
      <c r="D8" s="2" t="n">
        <v>0</v>
      </c>
      <c r="E8" s="2" t="n">
        <v>0</v>
      </c>
      <c r="F8" s="2" t="n">
        <v>0</v>
      </c>
      <c r="G8" s="2" t="n">
        <v>0</v>
      </c>
      <c r="H8" t="inlineStr">
        <is>
          <t>INCOMPLETE — known costs only</t>
        </is>
      </c>
      <c r="I8" t="inlineStr">
        <is>
          <t>Precomputed DAG rollup; inputs and direct calculations in other sheets</t>
        </is>
      </c>
    </row>
    <row r="9">
      <c r="A9" t="inlineStr">
        <is>
          <t>Expected</t>
        </is>
      </c>
      <c r="B9" t="inlineStr">
        <is>
          <t>Simple agent 2</t>
        </is>
      </c>
      <c r="C9" t="inlineStr">
        <is>
          <t>Simple agent 2</t>
        </is>
      </c>
      <c r="D9" s="2" t="n">
        <v>30</v>
      </c>
      <c r="E9" s="2" t="n">
        <v>0.012</v>
      </c>
      <c r="F9" s="2" t="n">
        <v>0</v>
      </c>
      <c r="G9" s="2" t="n">
        <v>0.012</v>
      </c>
      <c r="H9" t="inlineStr">
        <is>
          <t>Complete</t>
        </is>
      </c>
      <c r="I9" t="inlineStr">
        <is>
          <t>Precomputed DAG rollup; inputs and direct calculations in other sheets</t>
        </is>
      </c>
    </row>
    <row r="10">
      <c r="A10" t="inlineStr">
        <is>
          <t>High</t>
        </is>
      </c>
      <c r="B10" t="inlineStr">
        <is>
          <t>Simple agents</t>
        </is>
      </c>
      <c r="C10" t="inlineStr">
        <is>
          <t>Simple agents</t>
        </is>
      </c>
      <c r="D10" s="2" t="n">
        <v>30</v>
      </c>
      <c r="E10" s="2" t="n">
        <v>0.012</v>
      </c>
      <c r="F10" s="2" t="n">
        <v>0</v>
      </c>
      <c r="G10" s="2" t="n">
        <v>0.012</v>
      </c>
      <c r="H10" t="inlineStr">
        <is>
          <t>Complete</t>
        </is>
      </c>
      <c r="I10" t="inlineStr">
        <is>
          <t>Precomputed DAG rollup; inputs and direct calculations in other sheets</t>
        </is>
      </c>
    </row>
    <row r="11">
      <c r="A11" t="inlineStr">
        <is>
          <t>High</t>
        </is>
      </c>
      <c r="B11" t="inlineStr">
        <is>
          <t>Medium agents</t>
        </is>
      </c>
      <c r="C11" t="inlineStr">
        <is>
          <t>Medium agents</t>
        </is>
      </c>
      <c r="D11" s="2" t="n">
        <v>0</v>
      </c>
      <c r="E11" s="2" t="n">
        <v>0</v>
      </c>
      <c r="F11" s="2" t="n">
        <v>0</v>
      </c>
      <c r="G11" s="2" t="n">
        <v>0</v>
      </c>
      <c r="H11" t="inlineStr">
        <is>
          <t>INCOMPLETE — known costs only</t>
        </is>
      </c>
      <c r="I11" t="inlineStr">
        <is>
          <t>Precomputed DAG rollup; inputs and direct calculations in other sheets</t>
        </is>
      </c>
    </row>
    <row r="12">
      <c r="A12" t="inlineStr">
        <is>
          <t>High</t>
        </is>
      </c>
      <c r="B12" t="inlineStr">
        <is>
          <t>High agents</t>
        </is>
      </c>
      <c r="C12" t="inlineStr">
        <is>
          <t>High agents</t>
        </is>
      </c>
      <c r="D12" s="2" t="n">
        <v>0</v>
      </c>
      <c r="E12" s="2" t="n">
        <v>0</v>
      </c>
      <c r="F12" s="2" t="n">
        <v>0</v>
      </c>
      <c r="G12" s="2" t="n">
        <v>0</v>
      </c>
      <c r="H12" t="inlineStr">
        <is>
          <t>INCOMPLETE — known costs only</t>
        </is>
      </c>
      <c r="I12" t="inlineStr">
        <is>
          <t>Precomputed DAG rollup; inputs and direct calculations in other sheets</t>
        </is>
      </c>
    </row>
    <row r="13">
      <c r="A13" t="inlineStr">
        <is>
          <t>High</t>
        </is>
      </c>
      <c r="B13" t="inlineStr">
        <is>
          <t>Simple agent 2</t>
        </is>
      </c>
      <c r="C13" t="inlineStr">
        <is>
          <t>Simple agent 2</t>
        </is>
      </c>
      <c r="D13" s="2" t="n">
        <v>30</v>
      </c>
      <c r="E13" s="2" t="n">
        <v>0.018</v>
      </c>
      <c r="F13" s="2" t="n">
        <v>0</v>
      </c>
      <c r="G13" s="2" t="n">
        <v>0.018</v>
      </c>
      <c r="H13" t="inlineStr">
        <is>
          <t>Complete</t>
        </is>
      </c>
      <c r="I13" t="inlineStr">
        <is>
          <t>Precomputed DAG rollup; inputs and direct calculations in other sheets</t>
        </is>
      </c>
    </row>
  </sheetData>
  <autoFilter ref="A1:I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SUMIF(Volume!B2:B5,A2,Volume!J2:J5)</f>
        <v/>
      </c>
    </row>
    <row r="3">
      <c r="A3" t="inlineStr">
        <is>
          <t>medium</t>
        </is>
      </c>
      <c r="B3" s="2">
        <f>SUMIF(Volume!B2:B5,A3,Volume!J2:J5)</f>
        <v/>
      </c>
    </row>
    <row r="4">
      <c r="A4" t="inlineStr">
        <is>
          <t>high</t>
        </is>
      </c>
      <c r="B4" s="2">
        <f>SUMIF(Volume!B2:B5,A4,Volume!J2:J5)</f>
        <v/>
      </c>
    </row>
    <row r="5">
      <c r="A5" t="inlineStr">
        <is>
          <t>Research intensive</t>
        </is>
      </c>
      <c r="B5" s="2">
        <f>SUMIF(Volume!B2:B5,A5,Volume!J2:J5)</f>
        <v/>
      </c>
    </row>
  </sheetData>
  <autoFilter ref="A1:B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SUMIFS(Calculations!R2:R13,Calculations!A2:A13,"Expected",Calculations!AF2:AF13,A2)</f>
        <v/>
      </c>
      <c r="C2" s="2">
        <f>SUMIFS(Calculations!S2:S13,Calculations!A2:A13,"Expected",Calculations!AF2:AF13,A2)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SUMIFS(Calculations!R2:R13,Calculations!A2:A13,"Expected",Calculations!AF2:AF13,A3)</f>
        <v/>
      </c>
      <c r="C3" s="2">
        <f>SUMIFS(Calculations!S2:S13,Calculations!A2:A13,"Expected",Calculations!AF2:AF13,A3)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SUMIFS(Calculations!R2:R13,Calculations!A2:A13,"Expected",Calculations!AF2:AF13,A4)</f>
        <v/>
      </c>
      <c r="C4" s="2">
        <f>SUMIFS(Calculations!S2:S13,Calculations!A2:A13,"Expected",Calculations!AF2:AF13,A4)</f>
        <v/>
      </c>
      <c r="D4" s="2">
        <f>B4+C4</f>
        <v/>
      </c>
      <c r="E4" s="2">
        <f>D4/F4</f>
        <v/>
      </c>
      <c r="F4" s="2" t="n">
        <v>30</v>
      </c>
    </row>
    <row r="5">
      <c r="A5" t="inlineStr">
        <is>
          <t>Research intensive</t>
        </is>
      </c>
      <c r="B5" s="2">
        <f>SUMIFS(Calculations!R2:R13,Calculations!A2:A13,"Expected",Calculations!AF2:AF13,A5)</f>
        <v/>
      </c>
      <c r="C5" s="2">
        <f>SUMIFS(Calculations!S2:S13,Calculations!A2:A13,"Expected",Calculations!AF2:AF13,A5)</f>
        <v/>
      </c>
      <c r="D5" s="2">
        <f>B5+C5</f>
        <v/>
      </c>
      <c r="E5" s="2">
        <f>D5/F5</f>
        <v/>
      </c>
      <c r="F5" s="2" t="n">
        <v>30</v>
      </c>
    </row>
  </sheetData>
  <autoFilter ref="A1:F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SUMIFS(Calculations!AG2:AG13,Calculations!A2:A13,"Expected",Calculations!AF2:AF13,A2)</f>
        <v/>
      </c>
      <c r="D2" s="2">
        <f>SUMIFS(Calculations!T2:T13,Calculations!A2:A13,"Expected",Calculations!AF2:AF13,A2)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SUMIFS(Calculations!AH2:AH13,Calculations!A2:A13,"Expected",Calculations!AF2:AF13,A3)</f>
        <v/>
      </c>
      <c r="D3" s="2">
        <f>SUMIFS(Calculations!V2:V13,Calculations!A2:A13,"Expected",Calculations!AF2:AF13,A3)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SUMIFS(Calculations!AI2:AI13,Calculations!A2:A13,"Expected",Calculations!AF2:AF13,A4)</f>
        <v/>
      </c>
      <c r="D4" s="2">
        <f>SUMIFS(Calculations!W2:W13,Calculations!A2:A13,"Expected",Calculations!AF2:AF13,A4)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SUMIFS(Calculations!S2:S13,Calculations!A2:A13,"Expected",Calculations!AF2:AF13,A5)</f>
        <v/>
      </c>
      <c r="D5" s="2">
        <f>SUMIFS(Calculations!U2:U13,Calculations!A2:A13,"Expected",Calculations!AF2:AF13,A5)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SUMIFS(Calculations!AG2:AG13,Calculations!A2:A13,"Expected",Calculations!AF2:AF13,A7)</f>
        <v/>
      </c>
      <c r="D7" s="2">
        <f>SUMIFS(Calculations!T2:T13,Calculations!A2:A13,"Expected",Calculations!AF2:AF13,A7)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SUMIFS(Calculations!AH2:AH13,Calculations!A2:A13,"Expected",Calculations!AF2:AF13,A8)</f>
        <v/>
      </c>
      <c r="D8" s="2">
        <f>SUMIFS(Calculations!V2:V13,Calculations!A2:A13,"Expected",Calculations!AF2:AF13,A8)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SUMIFS(Calculations!AI2:AI13,Calculations!A2:A13,"Expected",Calculations!AF2:AF13,A9)</f>
        <v/>
      </c>
      <c r="D9" s="2">
        <f>SUMIFS(Calculations!W2:W13,Calculations!A2:A13,"Expected",Calculations!AF2:AF13,A9)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SUMIFS(Calculations!S2:S13,Calculations!A2:A13,"Expected",Calculations!AF2:AF13,A10)</f>
        <v/>
      </c>
      <c r="D10" s="2">
        <f>SUMIFS(Calculations!U2:U13,Calculations!A2:A13,"Expected",Calculations!AF2:AF13,A10)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SUMIFS(Calculations!AG2:AG13,Calculations!A2:A13,"Expected",Calculations!AF2:AF13,A12)</f>
        <v/>
      </c>
      <c r="D12" s="2">
        <f>SUMIFS(Calculations!T2:T13,Calculations!A2:A13,"Expected",Calculations!AF2:AF13,A12)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SUMIFS(Calculations!AH2:AH13,Calculations!A2:A13,"Expected",Calculations!AF2:AF13,A13)</f>
        <v/>
      </c>
      <c r="D13" s="2">
        <f>SUMIFS(Calculations!V2:V13,Calculations!A2:A13,"Expected",Calculations!AF2:AF13,A13)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SUMIFS(Calculations!AI2:AI13,Calculations!A2:A13,"Expected",Calculations!AF2:AF13,A14)</f>
        <v/>
      </c>
      <c r="D14" s="2">
        <f>SUMIFS(Calculations!W2:W13,Calculations!A2:A13,"Expected",Calculations!AF2:AF13,A14)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SUMIFS(Calculations!S2:S13,Calculations!A2:A13,"Expected",Calculations!AF2:AF13,A15)</f>
        <v/>
      </c>
      <c r="D15" s="2">
        <f>SUMIFS(Calculations!U2:U13,Calculations!A2:A13,"Expected",Calculations!AF2:AF13,A15)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  <row r="17">
      <c r="A17" t="inlineStr">
        <is>
          <t>Research intensive</t>
        </is>
      </c>
      <c r="B17" t="inlineStr">
        <is>
          <t>Uncached input</t>
        </is>
      </c>
      <c r="C17" s="2">
        <f>SUMIFS(Calculations!AG2:AG13,Calculations!A2:A13,"Expected",Calculations!AF2:AF13,A17)</f>
        <v/>
      </c>
      <c r="D17" s="2">
        <f>SUMIFS(Calculations!T2:T13,Calculations!A2:A13,"Expected",Calculations!AF2:AF13,A17)</f>
        <v/>
      </c>
      <c r="E17" s="2">
        <f>IF(C17=0,"",D17*1000000/C17)</f>
        <v/>
      </c>
      <c r="F17" t="inlineStr">
        <is>
          <t>Complete</t>
        </is>
      </c>
      <c r="G17" s="2">
        <f>C17/I17</f>
        <v/>
      </c>
      <c r="H17" s="2">
        <f>D17/I17</f>
        <v/>
      </c>
      <c r="I17" s="2" t="n">
        <v>30</v>
      </c>
    </row>
    <row r="18">
      <c r="A18" t="inlineStr">
        <is>
          <t>Research intensive</t>
        </is>
      </c>
      <c r="B18" t="inlineStr">
        <is>
          <t>Cached input read</t>
        </is>
      </c>
      <c r="C18" s="2">
        <f>SUMIFS(Calculations!AH2:AH13,Calculations!A2:A13,"Expected",Calculations!AF2:AF13,A18)</f>
        <v/>
      </c>
      <c r="D18" s="2">
        <f>SUMIFS(Calculations!V2:V13,Calculations!A2:A13,"Expected",Calculations!AF2:AF13,A18)</f>
        <v/>
      </c>
      <c r="E18" s="2">
        <f>IF(C18=0,"",D18*1000000/C18)</f>
        <v/>
      </c>
      <c r="F18" t="inlineStr">
        <is>
          <t>Complete</t>
        </is>
      </c>
      <c r="G18" s="2">
        <f>C18/I18</f>
        <v/>
      </c>
      <c r="H18" s="2">
        <f>D18/I18</f>
        <v/>
      </c>
      <c r="I18" s="2" t="n">
        <v>30</v>
      </c>
    </row>
    <row r="19">
      <c r="A19" t="inlineStr">
        <is>
          <t>Research intensive</t>
        </is>
      </c>
      <c r="B19" t="inlineStr">
        <is>
          <t>Input cache write</t>
        </is>
      </c>
      <c r="C19" s="2">
        <f>SUMIFS(Calculations!AI2:AI13,Calculations!A2:A13,"Expected",Calculations!AF2:AF13,A19)</f>
        <v/>
      </c>
      <c r="D19" s="2">
        <f>SUMIFS(Calculations!W2:W13,Calculations!A2:A13,"Expected",Calculations!AF2:AF13,A19)</f>
        <v/>
      </c>
      <c r="E19" s="2">
        <f>IF(C19=0,"",D19*1000000/C19)</f>
        <v/>
      </c>
      <c r="F19" t="inlineStr">
        <is>
          <t>Complete</t>
        </is>
      </c>
      <c r="G19" s="2">
        <f>C19/I19</f>
        <v/>
      </c>
      <c r="H19" s="2">
        <f>D19/I19</f>
        <v/>
      </c>
      <c r="I19" s="2" t="n">
        <v>30</v>
      </c>
    </row>
    <row r="20">
      <c r="A20" t="inlineStr">
        <is>
          <t>Research intensive</t>
        </is>
      </c>
      <c r="B20" t="inlineStr">
        <is>
          <t>Output incl. reasoning</t>
        </is>
      </c>
      <c r="C20" s="2">
        <f>SUMIFS(Calculations!S2:S13,Calculations!A2:A13,"Expected",Calculations!AF2:AF13,A20)</f>
        <v/>
      </c>
      <c r="D20" s="2">
        <f>SUMIFS(Calculations!U2:U13,Calculations!A2:A13,"Expected",Calculations!AF2:AF13,A20)</f>
        <v/>
      </c>
      <c r="E20" s="2">
        <f>IF(C20=0,"",D20*1000000/C20)</f>
        <v/>
      </c>
      <c r="F20" t="inlineStr">
        <is>
          <t>Complete</t>
        </is>
      </c>
      <c r="G20" s="2">
        <f>C20/I20</f>
        <v/>
      </c>
      <c r="H20" s="2">
        <f>D20/I20</f>
        <v/>
      </c>
      <c r="I20" s="2" t="n">
        <v>30</v>
      </c>
    </row>
    <row r="21">
      <c r="A21" t="inlineStr">
        <is>
          <t>Research intensive</t>
        </is>
      </c>
      <c r="B21" t="inlineStr">
        <is>
          <t>Total</t>
        </is>
      </c>
      <c r="C21" s="2">
        <f>SUM(C17:C20)</f>
        <v/>
      </c>
      <c r="D21" s="2">
        <f>SUM(D17:D20)</f>
        <v/>
      </c>
      <c r="F21" t="inlineStr">
        <is>
          <t>Complete</t>
        </is>
      </c>
      <c r="G21" s="2">
        <f>C21/I21</f>
        <v/>
      </c>
      <c r="H21" s="2">
        <f>D21/I21</f>
        <v/>
      </c>
      <c r="I21" s="2" t="n">
        <v>30</v>
      </c>
    </row>
  </sheetData>
  <autoFilter ref="A1:I2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Research intensive</t>
        </is>
      </c>
      <c r="B5" s="2">
        <f>'Category usage'!B5</f>
        <v/>
      </c>
      <c r="C5" s="2">
        <f>SUM('Category costs'!D17:D19)</f>
        <v/>
      </c>
      <c r="D5" s="2">
        <f>'Category usage'!C5</f>
        <v/>
      </c>
      <c r="E5" s="2">
        <f>'Category costs'!D20</f>
        <v/>
      </c>
      <c r="F5" s="2">
        <f>B5+D5</f>
        <v/>
      </c>
      <c r="G5" s="2">
        <f>C5+E5</f>
        <v/>
      </c>
      <c r="H5" t="inlineStr">
        <is>
          <t>Complete</t>
        </is>
      </c>
    </row>
    <row r="6">
      <c r="A6" t="inlineStr">
        <is>
          <t>Suite total</t>
        </is>
      </c>
      <c r="B6" s="2">
        <f>SUM(B2:B5)</f>
        <v/>
      </c>
      <c r="C6" s="2">
        <f>SUM(C2:C5)</f>
        <v/>
      </c>
      <c r="D6" s="2">
        <f>SUM(D2:D5)</f>
        <v/>
      </c>
      <c r="E6" s="2">
        <f>SUM(E2:E5)</f>
        <v/>
      </c>
      <c r="F6" s="2">
        <f>B6+D6</f>
        <v/>
      </c>
      <c r="G6" s="2">
        <f>C6+E6</f>
        <v/>
      </c>
      <c r="H6" t="inlineStr">
        <is>
          <t>Complete</t>
        </is>
      </c>
    </row>
  </sheetData>
  <autoFilter ref="A1:H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</t>
        </is>
      </c>
      <c r="F2" t="inlineStr">
        <is>
          <t>0</t>
        </is>
      </c>
      <c r="G2" t="inlineStr">
        <is>
          <t>0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</row>
    <row r="5">
      <c r="A5" t="inlineStr">
        <is>
          <t>Research intensive</t>
        </is>
      </c>
      <c r="B5" t="inlineStr">
        <is>
          <t>2</t>
        </is>
      </c>
      <c r="C5" t="inlineStr">
        <is>
          <t>1000</t>
        </is>
      </c>
      <c r="D5" t="inlineStr">
        <is>
          <t>500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</row>
  </sheetData>
  <autoFilter ref="A1:G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8" customWidth="1" min="3" max="3"/>
    <col width="29" customWidth="1" min="4" max="4"/>
    <col width="33" customWidth="1" min="5" max="5"/>
    <col width="3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20" customWidth="1" min="15" max="15"/>
    <col width="24" customWidth="1" min="16" max="16"/>
    <col width="16" customWidth="1" min="17" max="17"/>
    <col width="20" customWidth="1" min="18" max="18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original currency/M</t>
        </is>
      </c>
      <c r="D1" s="1" t="inlineStr">
        <is>
          <t>Output original currency/M</t>
        </is>
      </c>
      <c r="E1" s="1" t="inlineStr">
        <is>
          <t>Cache read original currency/M</t>
        </is>
      </c>
      <c r="F1" s="1" t="inlineStr">
        <is>
          <t>Cache write original currency/M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  <c r="L1" s="1" t="inlineStr">
        <is>
          <t>Source type</t>
        </is>
      </c>
      <c r="M1" s="1" t="inlineStr">
        <is>
          <t>Channel</t>
        </is>
      </c>
      <c r="N1" s="1" t="inlineStr">
        <is>
          <t>Region</t>
        </is>
      </c>
      <c r="O1" s="1" t="inlineStr">
        <is>
          <t>Original currency</t>
        </is>
      </c>
      <c r="P1" s="1" t="inlineStr">
        <is>
          <t>USD per currency unit</t>
        </is>
      </c>
      <c r="Q1" s="1" t="inlineStr">
        <is>
          <t>FX source</t>
        </is>
      </c>
      <c r="R1" s="1" t="inlineStr">
        <is>
          <t>FX retrieval date</t>
        </is>
      </c>
    </row>
    <row r="2">
      <c r="A2" t="inlineStr">
        <is>
          <t>Category Fixture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2026-10-04T18:56:42.731Z</t>
        </is>
      </c>
      <c r="I2" s="2" t="b">
        <v>1</v>
      </c>
      <c r="J2" t="inlineStr"/>
      <c r="K2" t="inlineStr"/>
      <c r="L2" t="inlineStr">
        <is>
          <t>custom</t>
        </is>
      </c>
      <c r="M2" t="inlineStr"/>
      <c r="N2" t="inlineStr"/>
      <c r="O2" t="inlineStr">
        <is>
          <t>USD</t>
        </is>
      </c>
      <c r="P2" s="2" t="n">
        <v>1</v>
      </c>
      <c r="Q2" t="inlineStr"/>
      <c r="R2" t="inlineStr"/>
    </row>
  </sheetData>
  <autoFilter ref="A1:R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Custom category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Per-agent tool rows and the simple suite harness are separate. Cache storage, multimodal charges, and advanced platform billing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model row appears in Calculations and replaces the aggregate. Column G is raw calls in AJ multiplied by step x model probability in AK; edit AJ/AK to recalculate. The Agents sheet is an aggregate import template, not a lossless backup of detailed steps.</t>
        </is>
      </c>
    </row>
    <row r="17">
      <c r="A17" t="inlineStr">
        <is>
          <t>Tools, harness, and use cases</t>
        </is>
      </c>
      <c r="B17" t="inlineStr">
        <is>
          <t>Tool costs and Harness feed the Summary recurring total through formulas. Use cases stores the precomputed fully loaded DAG cost per completion; edit the graph in the app and re-export. A fixed harness charge stays in the suite total even at zero workload.</t>
        </is>
      </c>
    </row>
    <row r="18">
      <c r="A18" t="inlineStr">
        <is>
          <t>Original currency and FX</t>
        </is>
      </c>
      <c r="B18" t="inlineStr">
        <is>
          <t>Pricing records original-currency rates and the user-supplied USD conversion snapshot. Calculations stores the selected effective USD rates; changing FX in Pricing does not update Calculations until re-export.</t>
        </is>
      </c>
    </row>
    <row r="19">
      <c r="A19" t="inlineStr">
        <is>
          <t>Version</t>
        </is>
      </c>
      <c r="B19" t="inlineStr">
        <is>
          <t>Schema 8; defaults 1</t>
        </is>
      </c>
    </row>
  </sheetData>
  <autoFilter ref="A1:B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2026-10-04T18:56:44Z</dcterms:created>
  <dcterms:modified xsi:type="dcterms:W3CDTF">2026-10-04T18:56:44Z</dcterms:modified>
</cp:coreProperties>
</file>