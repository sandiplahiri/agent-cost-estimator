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'Calculations'!$A$1:$AM$13</definedName>
    <definedName name="_xlnm._FilterDatabase" localSheetId="2" hidden="1">'Agents'!$A$1:$P$5</definedName>
    <definedName name="_xlnm._FilterDatabase" localSheetId="3" hidden="1">'Agent identities'!$A$1:$E$3</definedName>
    <definedName name="_xlnm._FilterDatabase" localSheetId="4" hidden="1">'Volume'!$A$1:$L$5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SUM(Calculations!X2:X5)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SUM(Calculations!X6:X9)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SUM(Calculations!X10:X13)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33.33333333333334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/>
      <c r="E3" s="2" t="n">
        <v>0</v>
      </c>
      <c r="F3" s="2">
        <f>IF(Z3="daily_users",AA3*AB3*AC3,AD3)*AE3</f>
        <v/>
      </c>
      <c r="G3" s="2">
        <f>AJ3*AK3</f>
        <v/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4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/>
      <c r="E4" s="2" t="n">
        <v>0</v>
      </c>
      <c r="F4" s="2">
        <f>IF(Z4="daily_users",AA4*AB4*AC4,AD4)*AE4</f>
        <v/>
      </c>
      <c r="G4" s="2">
        <f>AJ4*AK4</f>
        <v/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10</v>
      </c>
      <c r="AK4" s="2" t="n">
        <v>1</v>
      </c>
      <c r="AM4" t="inlineStr"/>
    </row>
    <row r="5">
      <c r="A5" t="inlineStr">
        <is>
          <t>Low</t>
        </is>
      </c>
      <c r="B5" t="inlineStr">
        <is>
          <t>Simple agent 2</t>
        </is>
      </c>
      <c r="C5" t="inlineStr">
        <is>
          <t>Aggregate</t>
        </is>
      </c>
      <c r="D5" t="inlineStr">
        <is>
          <t>Fixture A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0.02</v>
      </c>
      <c r="I5" s="2" t="n">
        <v>1500</v>
      </c>
      <c r="J5" s="2" t="n">
        <v>375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33.33333333333334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Simple agents</t>
        </is>
      </c>
      <c r="C6" t="inlineStr">
        <is>
          <t>Aggregate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0.02</v>
      </c>
      <c r="I6" s="2" t="n">
        <v>2000</v>
      </c>
      <c r="J6" s="2" t="n">
        <v>500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33.33333333333334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Medium agents</t>
        </is>
      </c>
      <c r="C7" t="inlineStr">
        <is>
          <t>Aggregate</t>
        </is>
      </c>
      <c r="D7" t="inlineStr"/>
      <c r="E7" s="2" t="n">
        <v>0</v>
      </c>
      <c r="F7" s="2">
        <f>IF(Z7="daily_users",AA7*AB7*AC7,AD7)*AE7</f>
        <v/>
      </c>
      <c r="G7" s="2">
        <f>AJ7*AK7</f>
        <v/>
      </c>
      <c r="H7" s="2" t="n">
        <v>0.05</v>
      </c>
      <c r="I7" s="2" t="n">
        <v>6000</v>
      </c>
      <c r="J7" s="2" t="n">
        <v>1000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medium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4</v>
      </c>
      <c r="AK7" s="2" t="n">
        <v>1</v>
      </c>
      <c r="AM7" t="inlineStr"/>
    </row>
    <row r="8">
      <c r="A8" t="inlineStr">
        <is>
          <t>Expected</t>
        </is>
      </c>
      <c r="B8" t="inlineStr">
        <is>
          <t>High agents</t>
        </is>
      </c>
      <c r="C8" t="inlineStr">
        <is>
          <t>Aggregate</t>
        </is>
      </c>
      <c r="D8" t="inlineStr"/>
      <c r="E8" s="2" t="n">
        <v>0</v>
      </c>
      <c r="F8" s="2">
        <f>IF(Z8="daily_users",AA8*AB8*AC8,AD8)*AE8</f>
        <v/>
      </c>
      <c r="G8" s="2">
        <f>AJ8*AK8</f>
        <v/>
      </c>
      <c r="H8" s="2" t="n">
        <v>0.1</v>
      </c>
      <c r="I8" s="2" t="n">
        <v>15000</v>
      </c>
      <c r="J8" s="2" t="n">
        <v>2000</v>
      </c>
      <c r="K8" s="2" t="n">
        <v>0</v>
      </c>
      <c r="L8" s="2" t="n">
        <v>0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high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10</v>
      </c>
      <c r="AK8" s="2" t="n">
        <v>1</v>
      </c>
      <c r="AM8" t="inlineStr"/>
    </row>
    <row r="9">
      <c r="A9" t="inlineStr">
        <is>
          <t>Expected</t>
        </is>
      </c>
      <c r="B9" t="inlineStr">
        <is>
          <t>Simple agent 2</t>
        </is>
      </c>
      <c r="C9" t="inlineStr">
        <is>
          <t>Aggregate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0.02</v>
      </c>
      <c r="I9" s="2" t="n">
        <v>2000</v>
      </c>
      <c r="J9" s="2" t="n">
        <v>500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33.33333333333334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Simple agents</t>
        </is>
      </c>
      <c r="C10" t="inlineStr">
        <is>
          <t>Aggregate</t>
        </is>
      </c>
      <c r="D10" t="inlineStr">
        <is>
          <t>Fixture A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0.02</v>
      </c>
      <c r="I10" s="2" t="n">
        <v>3000</v>
      </c>
      <c r="J10" s="2" t="n">
        <v>750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1</v>
      </c>
      <c r="AB10" s="2" t="n">
        <v>33.33333333333334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M10" t="inlineStr"/>
    </row>
    <row r="11">
      <c r="A11" t="inlineStr">
        <is>
          <t>High</t>
        </is>
      </c>
      <c r="B11" t="inlineStr">
        <is>
          <t>Medium agents</t>
        </is>
      </c>
      <c r="C11" t="inlineStr">
        <is>
          <t>Aggregate</t>
        </is>
      </c>
      <c r="D11" t="inlineStr"/>
      <c r="E11" s="2" t="n">
        <v>0</v>
      </c>
      <c r="F11" s="2">
        <f>IF(Z11="daily_users",AA11*AB11*AC11,AD11)*AE11</f>
        <v/>
      </c>
      <c r="G11" s="2">
        <f>AJ11*AK11</f>
        <v/>
      </c>
      <c r="H11" s="2" t="n">
        <v>0.05</v>
      </c>
      <c r="I11" s="2" t="n">
        <v>9000</v>
      </c>
      <c r="J11" s="2" t="n">
        <v>1500</v>
      </c>
      <c r="K11" s="2" t="n">
        <v>0</v>
      </c>
      <c r="L11" s="2" t="n">
        <v>0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0</v>
      </c>
      <c r="AB11" s="2" t="n">
        <v>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4</v>
      </c>
      <c r="AK11" s="2" t="n">
        <v>1</v>
      </c>
      <c r="AM11" t="inlineStr"/>
    </row>
    <row r="12">
      <c r="A12" t="inlineStr">
        <is>
          <t>High</t>
        </is>
      </c>
      <c r="B12" t="inlineStr">
        <is>
          <t>High agents</t>
        </is>
      </c>
      <c r="C12" t="inlineStr">
        <is>
          <t>Aggregate</t>
        </is>
      </c>
      <c r="D12" t="inlineStr"/>
      <c r="E12" s="2" t="n">
        <v>0</v>
      </c>
      <c r="F12" s="2">
        <f>IF(Z12="daily_users",AA12*AB12*AC12,AD12)*AE12</f>
        <v/>
      </c>
      <c r="G12" s="2">
        <f>AJ12*AK12</f>
        <v/>
      </c>
      <c r="H12" s="2" t="n">
        <v>0.1</v>
      </c>
      <c r="I12" s="2" t="n">
        <v>22500</v>
      </c>
      <c r="J12" s="2" t="n">
        <v>3000</v>
      </c>
      <c r="K12" s="2" t="n">
        <v>0</v>
      </c>
      <c r="L12" s="2" t="n">
        <v>0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0</v>
      </c>
      <c r="AB12" s="2" t="n">
        <v>0</v>
      </c>
      <c r="AC12" s="2" t="n">
        <v>30</v>
      </c>
      <c r="AD12" s="2" t="n">
        <v>0</v>
      </c>
      <c r="AE12" s="2" t="n">
        <v>1</v>
      </c>
      <c r="AF12" t="inlineStr">
        <is>
          <t>high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10</v>
      </c>
      <c r="AK12" s="2" t="n">
        <v>1</v>
      </c>
      <c r="AM12" t="inlineStr"/>
    </row>
    <row r="13">
      <c r="A13" t="inlineStr">
        <is>
          <t>High</t>
        </is>
      </c>
      <c r="B13" t="inlineStr">
        <is>
          <t>Simple agent 2</t>
        </is>
      </c>
      <c r="C13" t="inlineStr">
        <is>
          <t>Aggregate</t>
        </is>
      </c>
      <c r="D13" t="inlineStr">
        <is>
          <t>Fixture A</t>
        </is>
      </c>
      <c r="E13" s="2" t="n">
        <v>1</v>
      </c>
      <c r="F13" s="2">
        <f>IF(Z13="daily_users",AA13*AB13*AC13,AD13)*AE13</f>
        <v/>
      </c>
      <c r="G13" s="2">
        <f>AJ13*AK13</f>
        <v/>
      </c>
      <c r="H13" s="2" t="n">
        <v>0.02</v>
      </c>
      <c r="I13" s="2" t="n">
        <v>3000</v>
      </c>
      <c r="J13" s="2" t="n">
        <v>750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daily_users</t>
        </is>
      </c>
      <c r="AA13" s="2" t="n">
        <v>1</v>
      </c>
      <c r="AB13" s="2" t="n">
        <v>33.33333333333334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M13" t="inlineStr"/>
    </row>
  </sheetData>
  <autoFilter ref="A1:A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s="2" t="n">
        <v>0</v>
      </c>
      <c r="E2" t="inlineStr">
        <is>
          <t>Fixture 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33.33333333333334</v>
      </c>
      <c r="O2" t="inlineStr">
        <is>
          <t>19811716-a4ba-4c69-bcbe-99c4b25f01c1</t>
        </is>
      </c>
      <c r="P2" t="inlineStr">
        <is>
          <t>Business use case pending description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0</v>
      </c>
      <c r="N3" s="2" t="n">
        <v>0</v>
      </c>
      <c r="O3" t="inlineStr"/>
      <c r="P3" t="inlineStr"/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0</v>
      </c>
      <c r="N4" s="2" t="n">
        <v>0</v>
      </c>
      <c r="O4" t="inlineStr"/>
      <c r="P4" t="inlineStr"/>
    </row>
    <row r="5">
      <c r="A5" t="inlineStr">
        <is>
          <t>Simple agent 2</t>
        </is>
      </c>
      <c r="B5" t="inlineStr">
        <is>
          <t>simple</t>
        </is>
      </c>
      <c r="C5" s="2" t="n">
        <v>1</v>
      </c>
      <c r="D5" s="2" t="n">
        <v>0</v>
      </c>
      <c r="E5" t="inlineStr">
        <is>
          <t>Fixture A</t>
        </is>
      </c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1</v>
      </c>
      <c r="N5" s="2" t="n">
        <v>33.33333333333334</v>
      </c>
      <c r="O5" t="inlineStr">
        <is>
          <t>0b440f1a-9f93-4df5-b68a-75edcbbee8a2</t>
        </is>
      </c>
      <c r="P5" t="inlineStr">
        <is>
          <t>Business use case pending description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3e387955-f37d-4d6b-943d-7d41bbd79942</t>
        </is>
      </c>
      <c r="B2" t="inlineStr">
        <is>
          <t>Simple agents</t>
        </is>
      </c>
      <c r="C2" t="inlineStr">
        <is>
          <t>19811716-a4ba-4c69-bcbe-99c4b25f01c1</t>
        </is>
      </c>
      <c r="D2" t="inlineStr">
        <is>
          <t>Simple agent 1</t>
        </is>
      </c>
      <c r="E2" t="inlineStr">
        <is>
          <t>Business use case pending description</t>
        </is>
      </c>
    </row>
    <row r="3">
      <c r="A3" t="inlineStr">
        <is>
          <t>7ea28945-8e8d-4a3f-9f80-8059b57b5679</t>
        </is>
      </c>
      <c r="B3" t="inlineStr">
        <is>
          <t>Simple agent 2</t>
        </is>
      </c>
      <c r="C3" t="inlineStr">
        <is>
          <t>0b440f1a-9f93-4df5-b68a-75edcbbee8a2</t>
        </is>
      </c>
      <c r="D3" t="inlineStr">
        <is>
          <t>Simple agent 2</t>
        </is>
      </c>
      <c r="E3" t="inlineStr">
        <is>
          <t>Business use case pending description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33.33333333333334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3e387955-f37d-4d6b-943d-7d41bbd79942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t="inlineStr">
        <is>
          <t>daily_users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37a63e74-d6e5-43e9-812f-628a296b9a7c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t="inlineStr">
        <is>
          <t>daily_users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4e2aa9b9-1ae4-479e-9d53-e0d0a99bc9ea</t>
        </is>
      </c>
    </row>
    <row r="5">
      <c r="A5" t="inlineStr">
        <is>
          <t>Simple agent 2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1</v>
      </c>
      <c r="F5" s="2" t="n">
        <v>33.33333333333334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7ea28945-8e8d-4a3f-9f80-8059b57b5679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2000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2000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2000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Simple agents</t>
        </is>
      </c>
      <c r="D2" s="2" t="n">
        <v>1000</v>
      </c>
      <c r="E2" s="2" t="n">
        <v>0.00612</v>
      </c>
      <c r="F2" s="2" t="n">
        <v>0</v>
      </c>
      <c r="G2" s="2" t="n">
        <v>0.00612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Medium agents</t>
        </is>
      </c>
      <c r="D3" s="2" t="n">
        <v>0</v>
      </c>
      <c r="E3" s="2" t="n">
        <v>0</v>
      </c>
      <c r="F3" s="2" t="n">
        <v>0</v>
      </c>
      <c r="G3" s="2" t="n">
        <v>0</v>
      </c>
      <c r="H3" t="inlineStr">
        <is>
          <t>INCOMPLETE — known costs only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High agents</t>
        </is>
      </c>
      <c r="D4" s="2" t="n">
        <v>0</v>
      </c>
      <c r="E4" s="2" t="n">
        <v>0</v>
      </c>
      <c r="F4" s="2" t="n">
        <v>0</v>
      </c>
      <c r="G4" s="2" t="n">
        <v>0</v>
      </c>
      <c r="H4" t="inlineStr">
        <is>
          <t>INCOMPLETE — known costs only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Simple agent 2</t>
        </is>
      </c>
      <c r="C5" t="inlineStr">
        <is>
          <t>Simple agent 2</t>
        </is>
      </c>
      <c r="D5" s="2" t="n">
        <v>1000</v>
      </c>
      <c r="E5" s="2" t="n">
        <v>0.00612</v>
      </c>
      <c r="F5" s="2" t="n">
        <v>0</v>
      </c>
      <c r="G5" s="2" t="n">
        <v>0.00612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Simple agents</t>
        </is>
      </c>
      <c r="C6" t="inlineStr">
        <is>
          <t>Simple agents</t>
        </is>
      </c>
      <c r="D6" s="2" t="n">
        <v>1000</v>
      </c>
      <c r="E6" s="2" t="n">
        <v>0.008160000000000001</v>
      </c>
      <c r="F6" s="2" t="n">
        <v>0</v>
      </c>
      <c r="G6" s="2" t="n">
        <v>0.008160000000000001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Medium agents</t>
        </is>
      </c>
      <c r="C7" t="inlineStr">
        <is>
          <t>Medium agents</t>
        </is>
      </c>
      <c r="D7" s="2" t="n">
        <v>0</v>
      </c>
      <c r="E7" s="2" t="n">
        <v>0</v>
      </c>
      <c r="F7" s="2" t="n">
        <v>0</v>
      </c>
      <c r="G7" s="2" t="n">
        <v>0</v>
      </c>
      <c r="H7" t="inlineStr">
        <is>
          <t>INCOMPLETE — known costs only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High agents</t>
        </is>
      </c>
      <c r="C8" t="inlineStr">
        <is>
          <t>High agents</t>
        </is>
      </c>
      <c r="D8" s="2" t="n">
        <v>0</v>
      </c>
      <c r="E8" s="2" t="n">
        <v>0</v>
      </c>
      <c r="F8" s="2" t="n">
        <v>0</v>
      </c>
      <c r="G8" s="2" t="n">
        <v>0</v>
      </c>
      <c r="H8" t="inlineStr">
        <is>
          <t>INCOMPLETE — known costs only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Simple agent 2</t>
        </is>
      </c>
      <c r="C9" t="inlineStr">
        <is>
          <t>Simple agent 2</t>
        </is>
      </c>
      <c r="D9" s="2" t="n">
        <v>1000</v>
      </c>
      <c r="E9" s="2" t="n">
        <v>0.008160000000000001</v>
      </c>
      <c r="F9" s="2" t="n">
        <v>0</v>
      </c>
      <c r="G9" s="2" t="n">
        <v>0.008160000000000001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Simple agents</t>
        </is>
      </c>
      <c r="C10" t="inlineStr">
        <is>
          <t>Simple agents</t>
        </is>
      </c>
      <c r="D10" s="2" t="n">
        <v>1000</v>
      </c>
      <c r="E10" s="2" t="n">
        <v>0.01224</v>
      </c>
      <c r="F10" s="2" t="n">
        <v>0</v>
      </c>
      <c r="G10" s="2" t="n">
        <v>0.01224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Medium agents</t>
        </is>
      </c>
      <c r="C11" t="inlineStr">
        <is>
          <t>Medium agents</t>
        </is>
      </c>
      <c r="D11" s="2" t="n">
        <v>0</v>
      </c>
      <c r="E11" s="2" t="n">
        <v>0</v>
      </c>
      <c r="F11" s="2" t="n">
        <v>0</v>
      </c>
      <c r="G11" s="2" t="n">
        <v>0</v>
      </c>
      <c r="H11" t="inlineStr">
        <is>
          <t>INCOMPLETE — known costs only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High agents</t>
        </is>
      </c>
      <c r="C12" t="inlineStr">
        <is>
          <t>High agents</t>
        </is>
      </c>
      <c r="D12" s="2" t="n">
        <v>0</v>
      </c>
      <c r="E12" s="2" t="n">
        <v>0</v>
      </c>
      <c r="F12" s="2" t="n">
        <v>0</v>
      </c>
      <c r="G12" s="2" t="n">
        <v>0</v>
      </c>
      <c r="H12" t="inlineStr">
        <is>
          <t>INCOMPLETE — known costs only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Simple agent 2</t>
        </is>
      </c>
      <c r="C13" t="inlineStr">
        <is>
          <t>Simple agent 2</t>
        </is>
      </c>
      <c r="D13" s="2" t="n">
        <v>1000</v>
      </c>
      <c r="E13" s="2" t="n">
        <v>0.01224</v>
      </c>
      <c r="F13" s="2" t="n">
        <v>0</v>
      </c>
      <c r="G13" s="2" t="n">
        <v>0.01224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SUMIFS(Calculations!R2:R13,Calculations!A2:A13,"Expected",Calculations!AF2:AF13,A2)</f>
        <v/>
      </c>
      <c r="C2" s="2">
        <f>SUMIFS(Calculations!S2:S13,Calculations!A2:A13,"Expected",Calculations!AF2:AF13,A2)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SUMIFS(Calculations!R2:R13,Calculations!A2:A13,"Expected",Calculations!AF2:AF13,A3)</f>
        <v/>
      </c>
      <c r="C3" s="2">
        <f>SUMIFS(Calculations!S2:S13,Calculations!A2:A13,"Expected",Calculations!AF2:AF13,A3)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SUMIFS(Calculations!R2:R13,Calculations!A2:A13,"Expected",Calculations!AF2:AF13,A4)</f>
        <v/>
      </c>
      <c r="C4" s="2">
        <f>SUMIFS(Calculations!S2:S13,Calculations!A2:A13,"Expected",Calculations!AF2:AF13,A4)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SUMIFS(Calculations!AG2:AG13,Calculations!A2:A13,"Expected",Calculations!AF2:AF13,A2)</f>
        <v/>
      </c>
      <c r="D2" s="2">
        <f>SUMIFS(Calculations!T2:T13,Calculations!A2:A13,"Expected",Calculations!AF2:AF13,A2)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SUMIFS(Calculations!AH2:AH13,Calculations!A2:A13,"Expected",Calculations!AF2:AF13,A3)</f>
        <v/>
      </c>
      <c r="D3" s="2">
        <f>SUMIFS(Calculations!V2:V13,Calculations!A2:A13,"Expected",Calculations!AF2:AF13,A3)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SUMIFS(Calculations!AI2:AI13,Calculations!A2:A13,"Expected",Calculations!AF2:AF13,A4)</f>
        <v/>
      </c>
      <c r="D4" s="2">
        <f>SUMIFS(Calculations!W2:W13,Calculations!A2:A13,"Expected",Calculations!AF2:AF13,A4)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SUMIFS(Calculations!S2:S13,Calculations!A2:A13,"Expected",Calculations!AF2:AF13,A5)</f>
        <v/>
      </c>
      <c r="D5" s="2">
        <f>SUMIFS(Calculations!U2:U13,Calculations!A2:A13,"Expected",Calculations!AF2:AF13,A5)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SUMIFS(Calculations!AG2:AG13,Calculations!A2:A13,"Expected",Calculations!AF2:AF13,A7)</f>
        <v/>
      </c>
      <c r="D7" s="2">
        <f>SUMIFS(Calculations!T2:T13,Calculations!A2:A13,"Expected",Calculations!AF2:AF13,A7)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SUMIFS(Calculations!AH2:AH13,Calculations!A2:A13,"Expected",Calculations!AF2:AF13,A8)</f>
        <v/>
      </c>
      <c r="D8" s="2">
        <f>SUMIFS(Calculations!V2:V13,Calculations!A2:A13,"Expected",Calculations!AF2:AF13,A8)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SUMIFS(Calculations!AI2:AI13,Calculations!A2:A13,"Expected",Calculations!AF2:AF13,A9)</f>
        <v/>
      </c>
      <c r="D9" s="2">
        <f>SUMIFS(Calculations!W2:W13,Calculations!A2:A13,"Expected",Calculations!AF2:AF13,A9)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SUMIFS(Calculations!S2:S13,Calculations!A2:A13,"Expected",Calculations!AF2:AF13,A10)</f>
        <v/>
      </c>
      <c r="D10" s="2">
        <f>SUMIFS(Calculations!U2:U13,Calculations!A2:A13,"Expected",Calculations!AF2:AF13,A10)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SUMIFS(Calculations!AG2:AG13,Calculations!A2:A13,"Expected",Calculations!AF2:AF13,A12)</f>
        <v/>
      </c>
      <c r="D12" s="2">
        <f>SUMIFS(Calculations!T2:T13,Calculations!A2:A13,"Expected",Calculations!AF2:AF13,A12)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SUMIFS(Calculations!AH2:AH13,Calculations!A2:A13,"Expected",Calculations!AF2:AF13,A13)</f>
        <v/>
      </c>
      <c r="D13" s="2">
        <f>SUMIFS(Calculations!V2:V13,Calculations!A2:A13,"Expected",Calculations!AF2:AF13,A13)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SUMIFS(Calculations!AI2:AI13,Calculations!A2:A13,"Expected",Calculations!AF2:AF13,A14)</f>
        <v/>
      </c>
      <c r="D14" s="2">
        <f>SUMIFS(Calculations!W2:W13,Calculations!A2:A13,"Expected",Calculations!AF2:AF13,A14)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SUMIFS(Calculations!S2:S13,Calculations!A2:A13,"Expected",Calculations!AF2:AF13,A15)</f>
        <v/>
      </c>
      <c r="D15" s="2">
        <f>SUMIFS(Calculations!U2:U13,Calculations!A2:A13,"Expected",Calculations!AF2:AF13,A15)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SUMIFS(Calculations!R2:R13,Calculations!A2:A13,A2)</f>
        <v/>
      </c>
      <c r="C2" s="2">
        <f>SUMIFS(Calculations!T2:T13,Calculations!A2:A13,A2)+SUMIFS(Calculations!V2:V13,Calculations!A2:A13,A2)+SUMIFS(Calculations!W2:W13,Calculations!A2:A13,A2)</f>
        <v/>
      </c>
      <c r="D2" s="2">
        <f>SUMIFS(Calculations!S2:S13,Calculations!A2:A13,A2)</f>
        <v/>
      </c>
      <c r="E2" s="2">
        <f>SUMIFS(Calculations!U2:U13,Calculations!A2:A13,A2)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SUMIFS(Calculations!R2:R13,Calculations!A2:A13,A3)</f>
        <v/>
      </c>
      <c r="C3" s="2">
        <f>SUMIFS(Calculations!T2:T13,Calculations!A2:A13,A3)+SUMIFS(Calculations!V2:V13,Calculations!A2:A13,A3)+SUMIFS(Calculations!W2:W13,Calculations!A2:A13,A3)</f>
        <v/>
      </c>
      <c r="D3" s="2">
        <f>SUMIFS(Calculations!S2:S13,Calculations!A2:A13,A3)</f>
        <v/>
      </c>
      <c r="E3" s="2">
        <f>SUMIFS(Calculations!U2:U13,Calculations!A2:A13,A3)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SUMIFS(Calculations!R2:R13,Calculations!A2:A13,A4)</f>
        <v/>
      </c>
      <c r="C4" s="2">
        <f>SUMIFS(Calculations!T2:T13,Calculations!A2:A13,A4)+SUMIFS(Calculations!V2:V13,Calculations!A2:A13,A4)+SUMIFS(Calculations!W2:W13,Calculations!A2:A13,A4)</f>
        <v/>
      </c>
      <c r="D4" s="2">
        <f>SUMIFS(Calculations!S2:S13,Calculations!A2:A13,A4)</f>
        <v/>
      </c>
      <c r="E4" s="2">
        <f>SUMIFS(Calculations!U2:U13,Calculations!A2:A13,A4)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2026-10-05T00:21:09.096Z</t>
        </is>
      </c>
      <c r="I2" s="2" t="b">
        <v>1</v>
      </c>
      <c r="J2" t="inlineStr"/>
      <c r="K2" t="inlineStr"/>
      <c r="L2" t="inlineStr">
        <is>
          <t>custom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Mortgage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2026-10-05T00:21:11Z</dcterms:created>
  <dcterms:modified xsi:type="dcterms:W3CDTF">2026-10-05T00:21:11Z</dcterms:modified>
</cp:coreProperties>
</file>