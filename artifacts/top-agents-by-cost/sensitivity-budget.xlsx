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identities'!$A$1:$E$3</definedName>
    <definedName name="_xlnm._FilterDatabase" localSheetId="4" hidden="1">'Volume'!$A$1:$L$5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Simple agent 2</t>
        </is>
      </c>
      <c r="C5" t="inlineStr">
        <is>
          <t>Aggregate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1500</v>
      </c>
      <c r="J5" s="2" t="n">
        <v>375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33.33333333333334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0.05</v>
      </c>
      <c r="I7" s="2" t="n">
        <v>6000</v>
      </c>
      <c r="J7" s="2" t="n">
        <v>1000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medium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4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High agents</t>
        </is>
      </c>
      <c r="C8" t="inlineStr">
        <is>
          <t>Aggregate</t>
        </is>
      </c>
      <c r="D8" t="inlineStr"/>
      <c r="E8" s="2" t="n">
        <v>0</v>
      </c>
      <c r="F8" s="2">
        <f>IF(Z8="daily_users",AA8*AB8*AC8,AD8)*AE8</f>
        <v/>
      </c>
      <c r="G8" s="2">
        <f>AJ8*AK8</f>
        <v/>
      </c>
      <c r="H8" s="2" t="n">
        <v>0.1</v>
      </c>
      <c r="I8" s="2" t="n">
        <v>15000</v>
      </c>
      <c r="J8" s="2" t="n">
        <v>2000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high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10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0.02</v>
      </c>
      <c r="I9" s="2" t="n">
        <v>2000</v>
      </c>
      <c r="J9" s="2" t="n">
        <v>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33.33333333333334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33.33333333333334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Aggregate</t>
        </is>
      </c>
      <c r="D11" t="inlineStr"/>
      <c r="E11" s="2" t="n">
        <v>0</v>
      </c>
      <c r="F11" s="2">
        <f>IF(Z11="daily_users",AA11*AB11*AC11,AD11)*AE11</f>
        <v/>
      </c>
      <c r="G11" s="2">
        <f>AJ11*AK11</f>
        <v/>
      </c>
      <c r="H11" s="2" t="n">
        <v>0.05</v>
      </c>
      <c r="I11" s="2" t="n">
        <v>9000</v>
      </c>
      <c r="J11" s="2" t="n">
        <v>1500</v>
      </c>
      <c r="K11" s="2" t="n">
        <v>0</v>
      </c>
      <c r="L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4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High agents</t>
        </is>
      </c>
      <c r="C12" t="inlineStr">
        <is>
          <t>Aggregate</t>
        </is>
      </c>
      <c r="D12" t="inlineStr"/>
      <c r="E12" s="2" t="n">
        <v>0</v>
      </c>
      <c r="F12" s="2">
        <f>IF(Z12="daily_users",AA12*AB12*AC12,AD12)*AE12</f>
        <v/>
      </c>
      <c r="G12" s="2">
        <f>AJ12*AK12</f>
        <v/>
      </c>
      <c r="H12" s="2" t="n">
        <v>0.1</v>
      </c>
      <c r="I12" s="2" t="n">
        <v>22500</v>
      </c>
      <c r="J12" s="2" t="n">
        <v>3000</v>
      </c>
      <c r="K12" s="2" t="n">
        <v>0</v>
      </c>
      <c r="L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high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10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Aggregate</t>
        </is>
      </c>
      <c r="D13" t="inlineStr">
        <is>
          <t>Fixture A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0.02</v>
      </c>
      <c r="I13" s="2" t="n">
        <v>3000</v>
      </c>
      <c r="J13" s="2" t="n">
        <v>750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1</v>
      </c>
      <c r="AB13" s="2" t="n">
        <v>33.33333333333334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>
        <is>
          <t>Fixture A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  <c r="O2" t="inlineStr">
        <is>
          <t>85eba82b-e302-4567-a108-8c5aa11ca9ff</t>
        </is>
      </c>
      <c r="P2" t="inlineStr">
        <is>
          <t>Business use case pending description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s="2" t="n">
        <v>0</v>
      </c>
      <c r="E5" t="inlineStr">
        <is>
          <t>Fixture A</t>
        </is>
      </c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1</v>
      </c>
      <c r="N5" s="2" t="n">
        <v>33.33333333333334</v>
      </c>
      <c r="O5" t="inlineStr">
        <is>
          <t>e2fde521-e8dd-473e-839c-dc6d851b352d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7b98117d-76ae-4271-9d6d-c9718a9e76db</t>
        </is>
      </c>
      <c r="B2" t="inlineStr">
        <is>
          <t>Simple agents</t>
        </is>
      </c>
      <c r="C2" t="inlineStr">
        <is>
          <t>85eba82b-e302-4567-a108-8c5aa11ca9ff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ec65d6bf-8d64-468a-b63d-efb9374f63a4</t>
        </is>
      </c>
      <c r="B3" t="inlineStr">
        <is>
          <t>Simple agent 2</t>
        </is>
      </c>
      <c r="C3" t="inlineStr">
        <is>
          <t>e2fde521-e8dd-473e-839c-dc6d851b352d</t>
        </is>
      </c>
      <c r="D3" t="inlineStr">
        <is>
          <t>Simple agent 2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7b98117d-76ae-4271-9d6d-c9718a9e76db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d8ed5da7-09f3-44e9-93c8-401c607af543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dd3c9c30-1e1e-4cfa-bc68-791a9616985b</t>
        </is>
      </c>
    </row>
    <row r="5">
      <c r="A5" t="inlineStr">
        <is>
          <t>Simple agent 2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1</v>
      </c>
      <c r="F5" s="2" t="n">
        <v>33.33333333333334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ec65d6bf-8d64-468a-b63d-efb9374f63a4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2000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2000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2000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1000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Simple agent 2</t>
        </is>
      </c>
      <c r="C5" t="inlineStr">
        <is>
          <t>Simple agent 2</t>
        </is>
      </c>
      <c r="D5" s="2" t="n">
        <v>1000</v>
      </c>
      <c r="E5" s="2" t="n">
        <v>0.00612</v>
      </c>
      <c r="F5" s="2" t="n">
        <v>0</v>
      </c>
      <c r="G5" s="2" t="n">
        <v>0.00612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Simple agents</t>
        </is>
      </c>
      <c r="D6" s="2" t="n">
        <v>1000</v>
      </c>
      <c r="E6" s="2" t="n">
        <v>0.008160000000000001</v>
      </c>
      <c r="F6" s="2" t="n">
        <v>0</v>
      </c>
      <c r="G6" s="2" t="n">
        <v>0.008160000000000001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Medium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High agents</t>
        </is>
      </c>
      <c r="C8" t="inlineStr">
        <is>
          <t>High agents</t>
        </is>
      </c>
      <c r="D8" s="2" t="n">
        <v>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Simple agent 2</t>
        </is>
      </c>
      <c r="D9" s="2" t="n">
        <v>1000</v>
      </c>
      <c r="E9" s="2" t="n">
        <v>0.008160000000000001</v>
      </c>
      <c r="F9" s="2" t="n">
        <v>0</v>
      </c>
      <c r="G9" s="2" t="n">
        <v>0.008160000000000001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Simple agents</t>
        </is>
      </c>
      <c r="D10" s="2" t="n">
        <v>1000</v>
      </c>
      <c r="E10" s="2" t="n">
        <v>0.01224</v>
      </c>
      <c r="F10" s="2" t="n">
        <v>0</v>
      </c>
      <c r="G10" s="2" t="n">
        <v>0.01224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Medium agents</t>
        </is>
      </c>
      <c r="D11" s="2" t="n">
        <v>0</v>
      </c>
      <c r="E11" s="2" t="n">
        <v>0</v>
      </c>
      <c r="F11" s="2" t="n">
        <v>0</v>
      </c>
      <c r="G11" s="2" t="n">
        <v>0</v>
      </c>
      <c r="H11" t="inlineStr">
        <is>
          <t>INCOMPLETE — known costs only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High agents</t>
        </is>
      </c>
      <c r="C12" t="inlineStr">
        <is>
          <t>High agents</t>
        </is>
      </c>
      <c r="D12" s="2" t="n">
        <v>0</v>
      </c>
      <c r="E12" s="2" t="n">
        <v>0</v>
      </c>
      <c r="F12" s="2" t="n">
        <v>0</v>
      </c>
      <c r="G12" s="2" t="n">
        <v>0</v>
      </c>
      <c r="H12" t="inlineStr">
        <is>
          <t>INCOMPLETE — known costs only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Simple agent 2</t>
        </is>
      </c>
      <c r="D13" s="2" t="n">
        <v>1000</v>
      </c>
      <c r="E13" s="2" t="n">
        <v>0.01224</v>
      </c>
      <c r="F13" s="2" t="n">
        <v>0</v>
      </c>
      <c r="G13" s="2" t="n">
        <v>0.01224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SUMIFS(Calculations!R2:R13,Calculations!A2:A13,A2)</f>
        <v/>
      </c>
      <c r="C2" s="2">
        <f>SUMIFS(Calculations!T2:T13,Calculations!A2:A13,A2)+SUMIFS(Calculations!V2:V13,Calculations!A2:A13,A2)+SUMIFS(Calculations!W2:W13,Calculations!A2:A13,A2)</f>
        <v/>
      </c>
      <c r="D2" s="2">
        <f>SUMIFS(Calculations!S2:S13,Calculations!A2:A13,A2)</f>
        <v/>
      </c>
      <c r="E2" s="2">
        <f>SUMIFS(Calculations!U2:U13,Calculations!A2:A13,A2)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SUMIFS(Calculations!R2:R13,Calculations!A2:A13,A3)</f>
        <v/>
      </c>
      <c r="C3" s="2">
        <f>SUMIFS(Calculations!T2:T13,Calculations!A2:A13,A3)+SUMIFS(Calculations!V2:V13,Calculations!A2:A13,A3)+SUMIFS(Calculations!W2:W13,Calculations!A2:A13,A3)</f>
        <v/>
      </c>
      <c r="D3" s="2">
        <f>SUMIFS(Calculations!S2:S13,Calculations!A2:A13,A3)</f>
        <v/>
      </c>
      <c r="E3" s="2">
        <f>SUMIFS(Calculations!U2:U13,Calculations!A2:A13,A3)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SUMIFS(Calculations!R2:R13,Calculations!A2:A13,A4)</f>
        <v/>
      </c>
      <c r="C4" s="2">
        <f>SUMIFS(Calculations!T2:T13,Calculations!A2:A13,A4)+SUMIFS(Calculations!V2:V13,Calculations!A2:A13,A4)+SUMIFS(Calculations!W2:W13,Calculations!A2:A13,A4)</f>
        <v/>
      </c>
      <c r="D4" s="2">
        <f>SUMIFS(Calculations!S2:S13,Calculations!A2:A13,A4)</f>
        <v/>
      </c>
      <c r="E4" s="2">
        <f>SUMIFS(Calculations!U2:U13,Calculations!A2:A13,A4)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2026-10-05T00:13:31.213Z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2026-10-05T00:13:33Z</dcterms:created>
  <dcterms:modified xsi:type="dcterms:W3CDTF">2026-10-05T00:13:33Z</dcterms:modified>
</cp:coreProperties>
</file>