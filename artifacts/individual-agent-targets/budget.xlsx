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Step options" sheetId="4" state="visible" r:id="rId4"/>
    <sheet name="Step actions" sheetId="5" state="visible" r:id="rId5"/>
    <sheet name="Agent identities" sheetId="6" state="visible" r:id="rId6"/>
    <sheet name="Volume" sheetId="7" state="visible" r:id="rId7"/>
    <sheet name="Agent links" sheetId="8" state="visible" r:id="rId8"/>
    <sheet name="Tool costs" sheetId="9" state="visible" r:id="rId9"/>
    <sheet name="Harness" sheetId="10" state="visible" r:id="rId10"/>
    <sheet name="Use cases" sheetId="11" state="visible" r:id="rId11"/>
    <sheet name="Category totals" sheetId="12" state="visible" r:id="rId12"/>
    <sheet name="Category usage" sheetId="13" state="visible" r:id="rId13"/>
    <sheet name="Category costs" sheetId="14" state="visible" r:id="rId14"/>
    <sheet name="Monthly scenario summary" sheetId="15" state="visible" r:id="rId15"/>
    <sheet name="Monthly category summary" sheetId="16" state="visible" r:id="rId16"/>
    <sheet name="Profiles" sheetId="17" state="visible" r:id="rId17"/>
    <sheet name="Scenarios" sheetId="18" state="visible" r:id="rId18"/>
    <sheet name="Additional costs" sheetId="19" state="visible" r:id="rId19"/>
    <sheet name="Pricing" sheetId="20" state="visible" r:id="rId20"/>
    <sheet name="Read me" sheetId="21" state="visible" r:id="rId21"/>
  </sheets>
  <definedNames>
    <definedName name="_xlnm._FilterDatabase" localSheetId="0" hidden="1">'Summary'!$A$1:$J$4</definedName>
    <definedName name="_xlnm._FilterDatabase" localSheetId="1" hidden="1">'Calculations'!$A$1:$AM$13</definedName>
    <definedName name="_xlnm._FilterDatabase" localSheetId="2" hidden="1">'Agents'!$A$1:$Q$5</definedName>
    <definedName name="_xlnm._FilterDatabase" localSheetId="3" hidden="1">'Step options'!$A$1:$U$5</definedName>
    <definedName name="_xlnm._FilterDatabase" localSheetId="4" hidden="1">'Step actions'!$A$1:$L$13</definedName>
    <definedName name="_xlnm._FilterDatabase" localSheetId="5" hidden="1">'Agent identities'!$A$1:$E$5</definedName>
    <definedName name="_xlnm._FilterDatabase" localSheetId="6" hidden="1">'Volume'!$A$1:$L$5</definedName>
    <definedName name="_xlnm._FilterDatabase" localSheetId="7" hidden="1">'Agent links'!$A$1:$L$7</definedName>
    <definedName name="_xlnm._FilterDatabase" localSheetId="8" hidden="1">'Tool costs'!$A$1:$J$1</definedName>
    <definedName name="_xlnm._FilterDatabase" localSheetId="9" hidden="1">'Harness'!$A$1:$K$4</definedName>
    <definedName name="_xlnm._FilterDatabase" localSheetId="10" hidden="1">'Use cases'!$A$1:$I$13</definedName>
    <definedName name="_xlnm._FilterDatabase" localSheetId="11" hidden="1">'Category totals'!$A$1:$B$5</definedName>
    <definedName name="_xlnm._FilterDatabase" localSheetId="12" hidden="1">'Category usage'!$A$1:$F$5</definedName>
    <definedName name="_xlnm._FilterDatabase" localSheetId="13" hidden="1">'Category costs'!$A$1:$I$21</definedName>
    <definedName name="_xlnm._FilterDatabase" localSheetId="14" hidden="1">'Monthly scenario summary'!$A$1:$K$4</definedName>
    <definedName name="_xlnm._FilterDatabase" localSheetId="15" hidden="1">'Monthly category summary'!$A$1:$H$6</definedName>
    <definedName name="_xlnm._FilterDatabase" localSheetId="16" hidden="1">'Profiles'!$A$1:$G$5</definedName>
    <definedName name="_xlnm._FilterDatabase" localSheetId="17" hidden="1">'Scenarios'!$A$1:$G$4</definedName>
    <definedName name="_xlnm._FilterDatabase" localSheetId="18" hidden="1">'Additional costs'!$A$1:$A$1</definedName>
    <definedName name="_xlnm._FilterDatabase" localSheetId="19" hidden="1">'Pricing'!$A$1:$R$3</definedName>
    <definedName name="_xlnm._FilterDatabase" localSheetId="20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SUM(Calculations!X2:X5)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SUM(Calculations!X6:X9)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SUM(Calculations!X10:X13)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Main step</t>
        </is>
      </c>
      <c r="D2" t="inlineStr">
        <is>
          <t>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0</v>
      </c>
      <c r="K2" s="2" t="n">
        <v>0</v>
      </c>
      <c r="L2" s="2" t="n">
        <v>0</v>
      </c>
      <c r="M2" s="2" t="n">
        <v>2</v>
      </c>
      <c r="N2" s="2" t="n">
        <v>0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10</v>
      </c>
      <c r="AB2" s="2" t="n">
        <v>1</v>
      </c>
      <c r="AC2" s="2" t="n">
        <v>30</v>
      </c>
      <c r="AD2" s="2" t="n">
        <v>1000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root-model</t>
        </is>
      </c>
      <c r="AM2" t="inlineStr"/>
    </row>
    <row r="3">
      <c r="A3" t="inlineStr">
        <is>
          <t>Low</t>
        </is>
      </c>
      <c r="B3" t="inlineStr">
        <is>
          <t>Cara</t>
        </is>
      </c>
      <c r="C3" t="inlineStr">
        <is>
          <t>Aggregate</t>
        </is>
      </c>
      <c r="D3" t="inlineStr">
        <is>
          <t>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750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1000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Alice</t>
        </is>
      </c>
      <c r="C4" t="inlineStr">
        <is>
          <t>Aggregate</t>
        </is>
      </c>
      <c r="D4" t="inlineStr">
        <is>
          <t>A</t>
        </is>
      </c>
      <c r="E4" s="2" t="n">
        <v>1</v>
      </c>
      <c r="F4" s="2" t="n">
        <v>240</v>
      </c>
      <c r="G4" s="2">
        <f>AJ4*AK4</f>
        <v/>
      </c>
      <c r="H4" s="2" t="n">
        <v>0</v>
      </c>
      <c r="I4" s="2" t="n">
        <v>750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1</v>
      </c>
      <c r="AB4" s="2" t="n">
        <v>1</v>
      </c>
      <c r="AC4" s="2" t="n">
        <v>30</v>
      </c>
      <c r="AD4" s="2" t="n">
        <v>1000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  <row r="5">
      <c r="A5" t="inlineStr">
        <is>
          <t>Low</t>
        </is>
      </c>
      <c r="B5" t="inlineStr">
        <is>
          <t>Bob</t>
        </is>
      </c>
      <c r="C5" t="inlineStr">
        <is>
          <t>Main step</t>
        </is>
      </c>
      <c r="D5" t="inlineStr">
        <is>
          <t>B</t>
        </is>
      </c>
      <c r="E5" s="2" t="n">
        <v>1</v>
      </c>
      <c r="F5" s="2" t="n">
        <v>60</v>
      </c>
      <c r="G5" s="2">
        <f>AJ5*AK5</f>
        <v/>
      </c>
      <c r="H5" s="2" t="n">
        <v>0</v>
      </c>
      <c r="I5" s="2" t="n">
        <v>750</v>
      </c>
      <c r="J5" s="2" t="n">
        <v>0</v>
      </c>
      <c r="K5" s="2" t="n">
        <v>0</v>
      </c>
      <c r="L5" s="2" t="n">
        <v>0</v>
      </c>
      <c r="M5" s="2" t="n">
        <v>10</v>
      </c>
      <c r="N5" s="2" t="n">
        <v>0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derived</t>
        </is>
      </c>
      <c r="AA5" s="2" t="n">
        <v>1</v>
      </c>
      <c r="AB5" s="2" t="n">
        <v>1</v>
      </c>
      <c r="AC5" s="2" t="n">
        <v>30</v>
      </c>
      <c r="AD5" s="2" t="n">
        <v>1000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adfea3f2-0f40-4731-9719-20f7b3e73708</t>
        </is>
      </c>
      <c r="AM5" t="inlineStr"/>
    </row>
    <row r="6">
      <c r="A6" t="inlineStr">
        <is>
          <t>Expected</t>
        </is>
      </c>
      <c r="B6" t="inlineStr">
        <is>
          <t>Root</t>
        </is>
      </c>
      <c r="C6" t="inlineStr">
        <is>
          <t>Main step</t>
        </is>
      </c>
      <c r="D6" t="inlineStr">
        <is>
          <t>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1000</v>
      </c>
      <c r="J6" s="2" t="n">
        <v>0</v>
      </c>
      <c r="K6" s="2" t="n">
        <v>0</v>
      </c>
      <c r="L6" s="2" t="n">
        <v>0</v>
      </c>
      <c r="M6" s="2" t="n">
        <v>2</v>
      </c>
      <c r="N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10</v>
      </c>
      <c r="AB6" s="2" t="n">
        <v>1</v>
      </c>
      <c r="AC6" s="2" t="n">
        <v>30</v>
      </c>
      <c r="AD6" s="2" t="n">
        <v>1000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root-model</t>
        </is>
      </c>
      <c r="AM6" t="inlineStr"/>
    </row>
    <row r="7">
      <c r="A7" t="inlineStr">
        <is>
          <t>Expected</t>
        </is>
      </c>
      <c r="B7" t="inlineStr">
        <is>
          <t>Cara</t>
        </is>
      </c>
      <c r="C7" t="inlineStr">
        <is>
          <t>Aggregate</t>
        </is>
      </c>
      <c r="D7" t="inlineStr">
        <is>
          <t>A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0</v>
      </c>
      <c r="K7" s="2" t="n">
        <v>0</v>
      </c>
      <c r="L7" s="2" t="n">
        <v>0</v>
      </c>
      <c r="M7" s="2" t="n">
        <v>2</v>
      </c>
      <c r="N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</v>
      </c>
      <c r="AC7" s="2" t="n">
        <v>30</v>
      </c>
      <c r="AD7" s="2" t="n">
        <v>1000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M7" t="inlineStr"/>
    </row>
    <row r="8">
      <c r="A8" t="inlineStr">
        <is>
          <t>Expected</t>
        </is>
      </c>
      <c r="B8" t="inlineStr">
        <is>
          <t>Alice</t>
        </is>
      </c>
      <c r="C8" t="inlineStr">
        <is>
          <t>Aggregate</t>
        </is>
      </c>
      <c r="D8" t="inlineStr">
        <is>
          <t>A</t>
        </is>
      </c>
      <c r="E8" s="2" t="n">
        <v>1</v>
      </c>
      <c r="F8" s="2" t="n">
        <v>240</v>
      </c>
      <c r="G8" s="2">
        <f>AJ8*AK8</f>
        <v/>
      </c>
      <c r="H8" s="2" t="n">
        <v>0</v>
      </c>
      <c r="I8" s="2" t="n">
        <v>1000</v>
      </c>
      <c r="J8" s="2" t="n">
        <v>0</v>
      </c>
      <c r="K8" s="2" t="n">
        <v>0</v>
      </c>
      <c r="L8" s="2" t="n">
        <v>0</v>
      </c>
      <c r="M8" s="2" t="n">
        <v>2</v>
      </c>
      <c r="N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1</v>
      </c>
      <c r="AB8" s="2" t="n">
        <v>1</v>
      </c>
      <c r="AC8" s="2" t="n">
        <v>30</v>
      </c>
      <c r="AD8" s="2" t="n">
        <v>1000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Expected</t>
        </is>
      </c>
      <c r="B9" t="inlineStr">
        <is>
          <t>Bob</t>
        </is>
      </c>
      <c r="C9" t="inlineStr">
        <is>
          <t>Main step</t>
        </is>
      </c>
      <c r="D9" t="inlineStr">
        <is>
          <t>B</t>
        </is>
      </c>
      <c r="E9" s="2" t="n">
        <v>1</v>
      </c>
      <c r="F9" s="2" t="n">
        <v>60</v>
      </c>
      <c r="G9" s="2">
        <f>AJ9*AK9</f>
        <v/>
      </c>
      <c r="H9" s="2" t="n">
        <v>0</v>
      </c>
      <c r="I9" s="2" t="n">
        <v>1000</v>
      </c>
      <c r="J9" s="2" t="n">
        <v>0</v>
      </c>
      <c r="K9" s="2" t="n">
        <v>0</v>
      </c>
      <c r="L9" s="2" t="n">
        <v>0</v>
      </c>
      <c r="M9" s="2" t="n">
        <v>10</v>
      </c>
      <c r="N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1</v>
      </c>
      <c r="AB9" s="2" t="n">
        <v>1</v>
      </c>
      <c r="AC9" s="2" t="n">
        <v>30</v>
      </c>
      <c r="AD9" s="2" t="n">
        <v>1000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adfea3f2-0f40-4731-9719-20f7b3e73708</t>
        </is>
      </c>
      <c r="AM9" t="inlineStr"/>
    </row>
    <row r="10">
      <c r="A10" t="inlineStr">
        <is>
          <t>High</t>
        </is>
      </c>
      <c r="B10" t="inlineStr">
        <is>
          <t>Root</t>
        </is>
      </c>
      <c r="C10" t="inlineStr">
        <is>
          <t>Main step</t>
        </is>
      </c>
      <c r="D10" t="inlineStr">
        <is>
          <t>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1500</v>
      </c>
      <c r="J10" s="2" t="n">
        <v>0</v>
      </c>
      <c r="K10" s="2" t="n">
        <v>0</v>
      </c>
      <c r="L10" s="2" t="n">
        <v>0</v>
      </c>
      <c r="M10" s="2" t="n">
        <v>2</v>
      </c>
      <c r="N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10</v>
      </c>
      <c r="AB10" s="2" t="n">
        <v>1</v>
      </c>
      <c r="AC10" s="2" t="n">
        <v>30</v>
      </c>
      <c r="AD10" s="2" t="n">
        <v>1000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root-model</t>
        </is>
      </c>
      <c r="AM10" t="inlineStr"/>
    </row>
    <row r="11">
      <c r="A11" t="inlineStr">
        <is>
          <t>High</t>
        </is>
      </c>
      <c r="B11" t="inlineStr">
        <is>
          <t>Cara</t>
        </is>
      </c>
      <c r="C11" t="inlineStr">
        <is>
          <t>Aggregate</t>
        </is>
      </c>
      <c r="D11" t="inlineStr">
        <is>
          <t>A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1500</v>
      </c>
      <c r="J11" s="2" t="n">
        <v>0</v>
      </c>
      <c r="K11" s="2" t="n">
        <v>0</v>
      </c>
      <c r="L11" s="2" t="n">
        <v>0</v>
      </c>
      <c r="M11" s="2" t="n">
        <v>2</v>
      </c>
      <c r="N11" s="2" t="n">
        <v>0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1</v>
      </c>
      <c r="AB11" s="2" t="n">
        <v>1</v>
      </c>
      <c r="AC11" s="2" t="n">
        <v>30</v>
      </c>
      <c r="AD11" s="2" t="n">
        <v>1000</v>
      </c>
      <c r="AE11" s="2" t="n">
        <v>1</v>
      </c>
      <c r="AF11" t="inlineStr">
        <is>
          <t>simple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M11" t="inlineStr"/>
    </row>
    <row r="12">
      <c r="A12" t="inlineStr">
        <is>
          <t>High</t>
        </is>
      </c>
      <c r="B12" t="inlineStr">
        <is>
          <t>Alice</t>
        </is>
      </c>
      <c r="C12" t="inlineStr">
        <is>
          <t>Aggregate</t>
        </is>
      </c>
      <c r="D12" t="inlineStr">
        <is>
          <t>A</t>
        </is>
      </c>
      <c r="E12" s="2" t="n">
        <v>1</v>
      </c>
      <c r="F12" s="2" t="n">
        <v>240</v>
      </c>
      <c r="G12" s="2">
        <f>AJ12*AK12</f>
        <v/>
      </c>
      <c r="H12" s="2" t="n">
        <v>0</v>
      </c>
      <c r="I12" s="2" t="n">
        <v>1500</v>
      </c>
      <c r="J12" s="2" t="n">
        <v>0</v>
      </c>
      <c r="K12" s="2" t="n">
        <v>0</v>
      </c>
      <c r="L12" s="2" t="n">
        <v>0</v>
      </c>
      <c r="M12" s="2" t="n">
        <v>2</v>
      </c>
      <c r="N12" s="2" t="n">
        <v>0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derived</t>
        </is>
      </c>
      <c r="AA12" s="2" t="n">
        <v>1</v>
      </c>
      <c r="AB12" s="2" t="n">
        <v>1</v>
      </c>
      <c r="AC12" s="2" t="n">
        <v>30</v>
      </c>
      <c r="AD12" s="2" t="n">
        <v>1000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M12" t="inlineStr"/>
    </row>
    <row r="13">
      <c r="A13" t="inlineStr">
        <is>
          <t>High</t>
        </is>
      </c>
      <c r="B13" t="inlineStr">
        <is>
          <t>Bob</t>
        </is>
      </c>
      <c r="C13" t="inlineStr">
        <is>
          <t>Main step</t>
        </is>
      </c>
      <c r="D13" t="inlineStr">
        <is>
          <t>B</t>
        </is>
      </c>
      <c r="E13" s="2" t="n">
        <v>1</v>
      </c>
      <c r="F13" s="2" t="n">
        <v>60</v>
      </c>
      <c r="G13" s="2">
        <f>AJ13*AK13</f>
        <v/>
      </c>
      <c r="H13" s="2" t="n">
        <v>0</v>
      </c>
      <c r="I13" s="2" t="n">
        <v>1500</v>
      </c>
      <c r="J13" s="2" t="n">
        <v>0</v>
      </c>
      <c r="K13" s="2" t="n">
        <v>0</v>
      </c>
      <c r="L13" s="2" t="n">
        <v>0</v>
      </c>
      <c r="M13" s="2" t="n">
        <v>10</v>
      </c>
      <c r="N13" s="2" t="n">
        <v>0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1</v>
      </c>
      <c r="AB13" s="2" t="n">
        <v>1</v>
      </c>
      <c r="AC13" s="2" t="n">
        <v>30</v>
      </c>
      <c r="AD13" s="2" t="n">
        <v>1000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adfea3f2-0f40-4731-9719-20f7b3e73708</t>
        </is>
      </c>
      <c r="AM13" t="inlineStr"/>
    </row>
  </sheetData>
  <autoFilter ref="A1:A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  <col width="16" customWidth="1" min="17" max="17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  <c r="Q1" s="1" t="inlineStr">
        <is>
          <t>row_id</t>
        </is>
      </c>
    </row>
    <row r="2">
      <c r="A2" t="inlineStr">
        <is>
          <t>Root</t>
        </is>
      </c>
      <c r="B2" t="inlineStr">
        <is>
          <t>simple</t>
        </is>
      </c>
      <c r="C2" s="2" t="n">
        <v>1</v>
      </c>
      <c r="D2" s="2" t="n">
        <v>1000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10</v>
      </c>
      <c r="N2" s="2" t="n">
        <v>1</v>
      </c>
      <c r="O2" t="inlineStr">
        <is>
          <t>root</t>
        </is>
      </c>
      <c r="P2" t="inlineStr">
        <is>
          <t>Root handles a request</t>
        </is>
      </c>
      <c r="Q2" t="inlineStr">
        <is>
          <t>root-row</t>
        </is>
      </c>
    </row>
    <row r="3">
      <c r="A3" t="inlineStr">
        <is>
          <t>Cara</t>
        </is>
      </c>
      <c r="B3" t="inlineStr">
        <is>
          <t>simple</t>
        </is>
      </c>
      <c r="C3" s="2" t="n">
        <v>1</v>
      </c>
      <c r="D3" s="2" t="n">
        <v>1000</v>
      </c>
      <c r="E3" t="inlineStr">
        <is>
          <t>A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1</v>
      </c>
      <c r="O3" t="inlineStr">
        <is>
          <t>cara</t>
        </is>
      </c>
      <c r="P3" t="inlineStr">
        <is>
          <t>Cara handles a request</t>
        </is>
      </c>
      <c r="Q3" t="inlineStr">
        <is>
          <t>shared-row</t>
        </is>
      </c>
    </row>
    <row r="4">
      <c r="A4" t="inlineStr">
        <is>
          <t>Alice</t>
        </is>
      </c>
      <c r="B4" t="inlineStr">
        <is>
          <t>simple</t>
        </is>
      </c>
      <c r="C4" s="2" t="n">
        <v>1</v>
      </c>
      <c r="D4" s="2" t="n">
        <v>1000</v>
      </c>
      <c r="E4" t="inlineStr">
        <is>
          <t>A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1</v>
      </c>
      <c r="N4" s="2" t="n">
        <v>1</v>
      </c>
      <c r="O4" t="inlineStr">
        <is>
          <t>alice</t>
        </is>
      </c>
      <c r="P4" t="inlineStr">
        <is>
          <t>Alice handles a request</t>
        </is>
      </c>
      <c r="Q4" t="inlineStr">
        <is>
          <t>fccadf8a-040e-5986-823e-550c20621469</t>
        </is>
      </c>
    </row>
    <row r="5">
      <c r="A5" t="inlineStr">
        <is>
          <t>Bob</t>
        </is>
      </c>
      <c r="B5" t="inlineStr">
        <is>
          <t>simple</t>
        </is>
      </c>
      <c r="C5" s="2" t="n">
        <v>1</v>
      </c>
      <c r="D5" s="2" t="n">
        <v>1000</v>
      </c>
      <c r="E5" t="inlineStr">
        <is>
          <t>A</t>
        </is>
      </c>
      <c r="F5" t="inlineStr"/>
      <c r="G5" t="inlineStr"/>
      <c r="H5" t="inlineStr"/>
      <c r="I5" t="inlineStr"/>
      <c r="J5" t="inlineStr"/>
      <c r="K5" t="inlineStr"/>
      <c r="L5" t="inlineStr">
        <is>
          <t>derived</t>
        </is>
      </c>
      <c r="M5" s="2" t="n">
        <v>1</v>
      </c>
      <c r="N5" s="2" t="n">
        <v>1</v>
      </c>
      <c r="O5" t="inlineStr">
        <is>
          <t>bob</t>
        </is>
      </c>
      <c r="P5" t="inlineStr">
        <is>
          <t>Bob handles a request</t>
        </is>
      </c>
      <c r="Q5" t="inlineStr">
        <is>
          <t>df326191-e9f7-5439-a544-ae2e7f9efb1e</t>
        </is>
      </c>
    </row>
  </sheetData>
  <autoFilter ref="A1:Q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23" customWidth="1" min="17" max="17"/>
    <col width="28" customWidth="1" min="18" max="18"/>
    <col width="29" customWidth="1" min="19" max="19"/>
    <col width="18" customWidth="1" min="20" max="20"/>
    <col width="19" customWidth="1" min="21" max="21"/>
  </cols>
  <sheetData>
    <row r="1" ht="32" customHeight="1">
      <c r="A1" s="1" t="inlineStr">
        <is>
          <t>row_id</t>
        </is>
      </c>
      <c r="B1" s="1" t="inlineStr">
        <is>
          <t>step_id</t>
        </is>
      </c>
      <c r="C1" s="1" t="inlineStr">
        <is>
          <t>step_name</t>
        </is>
      </c>
      <c r="D1" s="1" t="inlineStr">
        <is>
          <t>order</t>
        </is>
      </c>
      <c r="E1" s="1" t="inlineStr">
        <is>
          <t>action_type</t>
        </is>
      </c>
      <c r="F1" s="1" t="inlineStr">
        <is>
          <t>execution_probability</t>
        </is>
      </c>
      <c r="G1" s="1" t="inlineStr">
        <is>
          <t>complexity</t>
        </is>
      </c>
      <c r="H1" s="1" t="inlineStr">
        <is>
          <t>option_id</t>
        </is>
      </c>
      <c r="I1" s="1" t="inlineStr">
        <is>
          <t>probability</t>
        </is>
      </c>
      <c r="J1" s="1" t="inlineStr">
        <is>
          <t>model_id</t>
        </is>
      </c>
      <c r="K1" s="1" t="inlineStr">
        <is>
          <t>child_agent_id</t>
        </is>
      </c>
      <c r="L1" s="1" t="inlineStr">
        <is>
          <t>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retry_rate</t>
        </is>
      </c>
      <c r="P1" s="1" t="inlineStr">
        <is>
          <t>cache_fraction</t>
        </is>
      </c>
      <c r="Q1" s="1" t="inlineStr">
        <is>
          <t>cache_write_fraction</t>
        </is>
      </c>
      <c r="R1" s="1" t="inlineStr">
        <is>
          <t>low_execution_probability</t>
        </is>
      </c>
      <c r="S1" s="1" t="inlineStr">
        <is>
          <t>high_execution_probability</t>
        </is>
      </c>
      <c r="T1" s="1" t="inlineStr">
        <is>
          <t>low_probability</t>
        </is>
      </c>
      <c r="U1" s="1" t="inlineStr">
        <is>
          <t>high_probability</t>
        </is>
      </c>
    </row>
    <row r="2">
      <c r="A2" t="inlineStr">
        <is>
          <t>root-row</t>
        </is>
      </c>
      <c r="B2" t="inlineStr">
        <is>
          <t>root-model</t>
        </is>
      </c>
      <c r="C2" t="inlineStr">
        <is>
          <t>Main step</t>
        </is>
      </c>
      <c r="D2" s="2" t="n">
        <v>1</v>
      </c>
      <c r="E2" t="inlineStr">
        <is>
          <t>model</t>
        </is>
      </c>
      <c r="F2" t="inlineStr">
        <is>
          <t>1</t>
        </is>
      </c>
      <c r="G2" t="inlineStr">
        <is>
          <t>simple</t>
        </is>
      </c>
      <c r="H2" t="inlineStr">
        <is>
          <t>root-model-model</t>
        </is>
      </c>
      <c r="I2" t="inlineStr">
        <is>
          <t>1</t>
        </is>
      </c>
      <c r="J2" t="inlineStr">
        <is>
          <t>A</t>
        </is>
      </c>
      <c r="L2" t="inlineStr">
        <is>
          <t>1</t>
        </is>
      </c>
      <c r="M2" t="inlineStr">
        <is>
          <t>1000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root-row</t>
        </is>
      </c>
      <c r="B3" t="inlineStr">
        <is>
          <t>7bbce1c8-83e0-4254-86f4-3662b26d717e</t>
        </is>
      </c>
      <c r="C3" t="inlineStr">
        <is>
          <t>Step 2</t>
        </is>
      </c>
      <c r="D3" s="2" t="n">
        <v>2</v>
      </c>
      <c r="E3" t="inlineStr">
        <is>
          <t>agent</t>
        </is>
      </c>
      <c r="F3" t="inlineStr">
        <is>
          <t>1</t>
        </is>
      </c>
      <c r="G3" t="inlineStr">
        <is>
          <t>simple</t>
        </is>
      </c>
      <c r="H3" t="inlineStr">
        <is>
          <t>f8c8132f-fae6-48ca-be6d-87608dc8a1c0</t>
        </is>
      </c>
      <c r="I3" t="inlineStr">
        <is>
          <t>0.8</t>
        </is>
      </c>
      <c r="K3" t="inlineStr">
        <is>
          <t>alice</t>
        </is>
      </c>
    </row>
    <row r="4">
      <c r="A4" t="inlineStr">
        <is>
          <t>root-row</t>
        </is>
      </c>
      <c r="B4" t="inlineStr">
        <is>
          <t>7bbce1c8-83e0-4254-86f4-3662b26d717e</t>
        </is>
      </c>
      <c r="C4" t="inlineStr">
        <is>
          <t>Step 2</t>
        </is>
      </c>
      <c r="D4" s="2" t="n">
        <v>2</v>
      </c>
      <c r="E4" t="inlineStr">
        <is>
          <t>agent</t>
        </is>
      </c>
      <c r="F4" t="inlineStr">
        <is>
          <t>1</t>
        </is>
      </c>
      <c r="G4" t="inlineStr">
        <is>
          <t>simple</t>
        </is>
      </c>
      <c r="H4" t="inlineStr">
        <is>
          <t>7c380bbb-25d1-4f02-9b21-fdaeaa5e09b6</t>
        </is>
      </c>
      <c r="I4" t="inlineStr">
        <is>
          <t>0.2</t>
        </is>
      </c>
      <c r="K4" t="inlineStr">
        <is>
          <t>bob</t>
        </is>
      </c>
    </row>
    <row r="5">
      <c r="A5" t="inlineStr">
        <is>
          <t>df326191-e9f7-5439-a544-ae2e7f9efb1e</t>
        </is>
      </c>
      <c r="B5" t="inlineStr">
        <is>
          <t>adfea3f2-0f40-4731-9719-20f7b3e73708</t>
        </is>
      </c>
      <c r="C5" t="inlineStr">
        <is>
          <t>Main step</t>
        </is>
      </c>
      <c r="D5" s="2" t="n">
        <v>1</v>
      </c>
      <c r="E5" t="inlineStr">
        <is>
          <t>model</t>
        </is>
      </c>
      <c r="F5" t="inlineStr">
        <is>
          <t>1</t>
        </is>
      </c>
      <c r="G5" t="inlineStr">
        <is>
          <t>simple</t>
        </is>
      </c>
      <c r="H5" t="inlineStr">
        <is>
          <t>cd551d44-0765-478a-aaf5-93d349fd58db</t>
        </is>
      </c>
      <c r="I5" t="inlineStr">
        <is>
          <t>1</t>
        </is>
      </c>
      <c r="J5" t="inlineStr">
        <is>
          <t>B</t>
        </is>
      </c>
      <c r="L5" t="inlineStr">
        <is>
          <t>1</t>
        </is>
      </c>
      <c r="M5" t="inlineStr">
        <is>
          <t>1000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autoFilter ref="A1:U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24" customWidth="1" min="8" max="8"/>
    <col width="37" customWidth="1" min="9" max="9"/>
    <col width="39" customWidth="1" min="10" max="10"/>
    <col width="45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Step probability</t>
        </is>
      </c>
      <c r="F1" s="1" t="inlineStr">
        <is>
          <t>Option ID</t>
        </is>
      </c>
      <c r="G1" s="1" t="inlineStr">
        <is>
          <t>Target</t>
        </is>
      </c>
      <c r="H1" s="1" t="inlineStr">
        <is>
          <t>Selection probability</t>
        </is>
      </c>
      <c r="I1" s="1" t="inlineStr">
        <is>
          <t>Option USD/execution (precomputed)</t>
        </is>
      </c>
      <c r="J1" s="1" t="inlineStr">
        <is>
          <t>Weighted USD/execution (precomputed)</t>
        </is>
      </c>
      <c r="K1" s="1" t="inlineStr">
        <is>
          <t>Step USD/month incl children (precomputed)</t>
        </is>
      </c>
      <c r="L1" s="1" t="inlineStr">
        <is>
          <t>Status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Main step</t>
        </is>
      </c>
      <c r="D2" t="inlineStr">
        <is>
          <t>model</t>
        </is>
      </c>
      <c r="E2" t="inlineStr">
        <is>
          <t>1</t>
        </is>
      </c>
      <c r="F2" t="inlineStr">
        <is>
          <t>root-model-model</t>
        </is>
      </c>
      <c r="G2" t="inlineStr">
        <is>
          <t>A</t>
        </is>
      </c>
      <c r="H2" s="2" t="n">
        <v>1</v>
      </c>
      <c r="I2" s="2" t="n">
        <v>0.0015</v>
      </c>
      <c r="J2" s="2" t="n">
        <v>0.0015</v>
      </c>
      <c r="K2" s="2" t="n">
        <v>0.45</v>
      </c>
      <c r="L2" t="inlineStr">
        <is>
          <t>Complete</t>
        </is>
      </c>
    </row>
    <row r="3">
      <c r="A3" t="inlineStr">
        <is>
          <t>Low</t>
        </is>
      </c>
      <c r="B3" t="inlineStr">
        <is>
          <t>Root</t>
        </is>
      </c>
      <c r="C3" t="inlineStr">
        <is>
          <t>Step 2</t>
        </is>
      </c>
      <c r="D3" t="inlineStr">
        <is>
          <t>agent</t>
        </is>
      </c>
      <c r="E3" t="inlineStr">
        <is>
          <t>1</t>
        </is>
      </c>
      <c r="F3" t="inlineStr">
        <is>
          <t>f8c8132f-fae6-48ca-be6d-87608dc8a1c0</t>
        </is>
      </c>
      <c r="G3" t="inlineStr">
        <is>
          <t>alice</t>
        </is>
      </c>
      <c r="H3" s="2" t="n">
        <v>0.8</v>
      </c>
      <c r="I3" s="2" t="n">
        <v>0.0015</v>
      </c>
      <c r="J3" s="2" t="n">
        <v>0.0012</v>
      </c>
      <c r="K3" s="2" t="n">
        <v>0.8100000000000001</v>
      </c>
      <c r="L3" t="inlineStr">
        <is>
          <t>Complete</t>
        </is>
      </c>
    </row>
    <row r="4">
      <c r="A4" t="inlineStr">
        <is>
          <t>Low</t>
        </is>
      </c>
      <c r="B4" t="inlineStr">
        <is>
          <t>Root</t>
        </is>
      </c>
      <c r="C4" t="inlineStr">
        <is>
          <t>Step 2</t>
        </is>
      </c>
      <c r="D4" t="inlineStr">
        <is>
          <t>agent</t>
        </is>
      </c>
      <c r="E4" t="inlineStr">
        <is>
          <t>1</t>
        </is>
      </c>
      <c r="F4" t="inlineStr">
        <is>
          <t>7c380bbb-25d1-4f02-9b21-fdaeaa5e09b6</t>
        </is>
      </c>
      <c r="G4" t="inlineStr">
        <is>
          <t>bob</t>
        </is>
      </c>
      <c r="H4" s="2" t="n">
        <v>0.2</v>
      </c>
      <c r="I4" s="2" t="n">
        <v>0.0075</v>
      </c>
      <c r="J4" s="2" t="n">
        <v>0.0015</v>
      </c>
      <c r="K4" s="2" t="n">
        <v>0.8100000000000001</v>
      </c>
      <c r="L4" t="inlineStr">
        <is>
          <t>Complete</t>
        </is>
      </c>
    </row>
    <row r="5">
      <c r="A5" t="inlineStr">
        <is>
          <t>Low</t>
        </is>
      </c>
      <c r="B5" t="inlineStr">
        <is>
          <t>Bob</t>
        </is>
      </c>
      <c r="C5" t="inlineStr">
        <is>
          <t>Main step</t>
        </is>
      </c>
      <c r="D5" t="inlineStr">
        <is>
          <t>model</t>
        </is>
      </c>
      <c r="E5" t="inlineStr">
        <is>
          <t>1</t>
        </is>
      </c>
      <c r="F5" t="inlineStr">
        <is>
          <t>cd551d44-0765-478a-aaf5-93d349fd58db</t>
        </is>
      </c>
      <c r="G5" t="inlineStr">
        <is>
          <t>B</t>
        </is>
      </c>
      <c r="H5" s="2" t="n">
        <v>1</v>
      </c>
      <c r="I5" s="2" t="n">
        <v>0.0075</v>
      </c>
      <c r="J5" s="2" t="n">
        <v>0.0075</v>
      </c>
      <c r="K5" s="2" t="n">
        <v>0.45</v>
      </c>
      <c r="L5" t="inlineStr">
        <is>
          <t>Complete</t>
        </is>
      </c>
    </row>
    <row r="6">
      <c r="A6" t="inlineStr">
        <is>
          <t>Expected</t>
        </is>
      </c>
      <c r="B6" t="inlineStr">
        <is>
          <t>Root</t>
        </is>
      </c>
      <c r="C6" t="inlineStr">
        <is>
          <t>Main step</t>
        </is>
      </c>
      <c r="D6" t="inlineStr">
        <is>
          <t>model</t>
        </is>
      </c>
      <c r="E6" t="inlineStr">
        <is>
          <t>1</t>
        </is>
      </c>
      <c r="F6" t="inlineStr">
        <is>
          <t>root-model-model</t>
        </is>
      </c>
      <c r="G6" t="inlineStr">
        <is>
          <t>A</t>
        </is>
      </c>
      <c r="H6" s="2" t="n">
        <v>1</v>
      </c>
      <c r="I6" s="2" t="n">
        <v>0.002</v>
      </c>
      <c r="J6" s="2" t="n">
        <v>0.002</v>
      </c>
      <c r="K6" s="2" t="n">
        <v>0.6</v>
      </c>
      <c r="L6" t="inlineStr">
        <is>
          <t>Complete</t>
        </is>
      </c>
    </row>
    <row r="7">
      <c r="A7" t="inlineStr">
        <is>
          <t>Expected</t>
        </is>
      </c>
      <c r="B7" t="inlineStr">
        <is>
          <t>Root</t>
        </is>
      </c>
      <c r="C7" t="inlineStr">
        <is>
          <t>Step 2</t>
        </is>
      </c>
      <c r="D7" t="inlineStr">
        <is>
          <t>agent</t>
        </is>
      </c>
      <c r="E7" t="inlineStr">
        <is>
          <t>1</t>
        </is>
      </c>
      <c r="F7" t="inlineStr">
        <is>
          <t>f8c8132f-fae6-48ca-be6d-87608dc8a1c0</t>
        </is>
      </c>
      <c r="G7" t="inlineStr">
        <is>
          <t>alice</t>
        </is>
      </c>
      <c r="H7" s="2" t="n">
        <v>0.8</v>
      </c>
      <c r="I7" s="2" t="n">
        <v>0.002</v>
      </c>
      <c r="J7" s="2" t="n">
        <v>0.0016</v>
      </c>
      <c r="K7" s="2" t="n">
        <v>1.08</v>
      </c>
      <c r="L7" t="inlineStr">
        <is>
          <t>Complete</t>
        </is>
      </c>
    </row>
    <row r="8">
      <c r="A8" t="inlineStr">
        <is>
          <t>Expected</t>
        </is>
      </c>
      <c r="B8" t="inlineStr">
        <is>
          <t>Root</t>
        </is>
      </c>
      <c r="C8" t="inlineStr">
        <is>
          <t>Step 2</t>
        </is>
      </c>
      <c r="D8" t="inlineStr">
        <is>
          <t>agent</t>
        </is>
      </c>
      <c r="E8" t="inlineStr">
        <is>
          <t>1</t>
        </is>
      </c>
      <c r="F8" t="inlineStr">
        <is>
          <t>7c380bbb-25d1-4f02-9b21-fdaeaa5e09b6</t>
        </is>
      </c>
      <c r="G8" t="inlineStr">
        <is>
          <t>bob</t>
        </is>
      </c>
      <c r="H8" s="2" t="n">
        <v>0.2</v>
      </c>
      <c r="I8" s="2" t="n">
        <v>0.01</v>
      </c>
      <c r="J8" s="2" t="n">
        <v>0.002</v>
      </c>
      <c r="K8" s="2" t="n">
        <v>1.08</v>
      </c>
      <c r="L8" t="inlineStr">
        <is>
          <t>Complete</t>
        </is>
      </c>
    </row>
    <row r="9">
      <c r="A9" t="inlineStr">
        <is>
          <t>Expected</t>
        </is>
      </c>
      <c r="B9" t="inlineStr">
        <is>
          <t>Bob</t>
        </is>
      </c>
      <c r="C9" t="inlineStr">
        <is>
          <t>Main step</t>
        </is>
      </c>
      <c r="D9" t="inlineStr">
        <is>
          <t>model</t>
        </is>
      </c>
      <c r="E9" t="inlineStr">
        <is>
          <t>1</t>
        </is>
      </c>
      <c r="F9" t="inlineStr">
        <is>
          <t>cd551d44-0765-478a-aaf5-93d349fd58db</t>
        </is>
      </c>
      <c r="G9" t="inlineStr">
        <is>
          <t>B</t>
        </is>
      </c>
      <c r="H9" s="2" t="n">
        <v>1</v>
      </c>
      <c r="I9" s="2" t="n">
        <v>0.01</v>
      </c>
      <c r="J9" s="2" t="n">
        <v>0.01</v>
      </c>
      <c r="K9" s="2" t="n">
        <v>0.6</v>
      </c>
      <c r="L9" t="inlineStr">
        <is>
          <t>Complete</t>
        </is>
      </c>
    </row>
    <row r="10">
      <c r="A10" t="inlineStr">
        <is>
          <t>High</t>
        </is>
      </c>
      <c r="B10" t="inlineStr">
        <is>
          <t>Root</t>
        </is>
      </c>
      <c r="C10" t="inlineStr">
        <is>
          <t>Main step</t>
        </is>
      </c>
      <c r="D10" t="inlineStr">
        <is>
          <t>model</t>
        </is>
      </c>
      <c r="E10" t="inlineStr">
        <is>
          <t>1</t>
        </is>
      </c>
      <c r="F10" t="inlineStr">
        <is>
          <t>root-model-model</t>
        </is>
      </c>
      <c r="G10" t="inlineStr">
        <is>
          <t>A</t>
        </is>
      </c>
      <c r="H10" s="2" t="n">
        <v>1</v>
      </c>
      <c r="I10" s="2" t="n">
        <v>0.003</v>
      </c>
      <c r="J10" s="2" t="n">
        <v>0.003</v>
      </c>
      <c r="K10" s="2" t="n">
        <v>0.9</v>
      </c>
      <c r="L10" t="inlineStr">
        <is>
          <t>Complete</t>
        </is>
      </c>
    </row>
    <row r="11">
      <c r="A11" t="inlineStr">
        <is>
          <t>High</t>
        </is>
      </c>
      <c r="B11" t="inlineStr">
        <is>
          <t>Root</t>
        </is>
      </c>
      <c r="C11" t="inlineStr">
        <is>
          <t>Step 2</t>
        </is>
      </c>
      <c r="D11" t="inlineStr">
        <is>
          <t>agent</t>
        </is>
      </c>
      <c r="E11" t="inlineStr">
        <is>
          <t>1</t>
        </is>
      </c>
      <c r="F11" t="inlineStr">
        <is>
          <t>f8c8132f-fae6-48ca-be6d-87608dc8a1c0</t>
        </is>
      </c>
      <c r="G11" t="inlineStr">
        <is>
          <t>alice</t>
        </is>
      </c>
      <c r="H11" s="2" t="n">
        <v>0.8</v>
      </c>
      <c r="I11" s="2" t="n">
        <v>0.003</v>
      </c>
      <c r="J11" s="2" t="n">
        <v>0.0024</v>
      </c>
      <c r="K11" s="2" t="n">
        <v>1.62</v>
      </c>
      <c r="L11" t="inlineStr">
        <is>
          <t>Complete</t>
        </is>
      </c>
    </row>
    <row r="12">
      <c r="A12" t="inlineStr">
        <is>
          <t>High</t>
        </is>
      </c>
      <c r="B12" t="inlineStr">
        <is>
          <t>Root</t>
        </is>
      </c>
      <c r="C12" t="inlineStr">
        <is>
          <t>Step 2</t>
        </is>
      </c>
      <c r="D12" t="inlineStr">
        <is>
          <t>agent</t>
        </is>
      </c>
      <c r="E12" t="inlineStr">
        <is>
          <t>1</t>
        </is>
      </c>
      <c r="F12" t="inlineStr">
        <is>
          <t>7c380bbb-25d1-4f02-9b21-fdaeaa5e09b6</t>
        </is>
      </c>
      <c r="G12" t="inlineStr">
        <is>
          <t>bob</t>
        </is>
      </c>
      <c r="H12" s="2" t="n">
        <v>0.2</v>
      </c>
      <c r="I12" s="2" t="n">
        <v>0.015</v>
      </c>
      <c r="J12" s="2" t="n">
        <v>0.003</v>
      </c>
      <c r="K12" s="2" t="n">
        <v>1.62</v>
      </c>
      <c r="L12" t="inlineStr">
        <is>
          <t>Complete</t>
        </is>
      </c>
    </row>
    <row r="13">
      <c r="A13" t="inlineStr">
        <is>
          <t>High</t>
        </is>
      </c>
      <c r="B13" t="inlineStr">
        <is>
          <t>Bob</t>
        </is>
      </c>
      <c r="C13" t="inlineStr">
        <is>
          <t>Main step</t>
        </is>
      </c>
      <c r="D13" t="inlineStr">
        <is>
          <t>model</t>
        </is>
      </c>
      <c r="E13" t="inlineStr">
        <is>
          <t>1</t>
        </is>
      </c>
      <c r="F13" t="inlineStr">
        <is>
          <t>cd551d44-0765-478a-aaf5-93d349fd58db</t>
        </is>
      </c>
      <c r="G13" t="inlineStr">
        <is>
          <t>B</t>
        </is>
      </c>
      <c r="H13" s="2" t="n">
        <v>1</v>
      </c>
      <c r="I13" s="2" t="n">
        <v>0.015</v>
      </c>
      <c r="J13" s="2" t="n">
        <v>0.015</v>
      </c>
      <c r="K13" s="2" t="n">
        <v>0.9</v>
      </c>
      <c r="L13" t="inlineStr">
        <is>
          <t>Complete</t>
        </is>
      </c>
    </row>
  </sheetData>
  <autoFilter ref="A1:L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root-row</t>
        </is>
      </c>
      <c r="B2" t="inlineStr">
        <is>
          <t>Root</t>
        </is>
      </c>
      <c r="C2" t="inlineStr">
        <is>
          <t>root</t>
        </is>
      </c>
      <c r="D2" t="inlineStr">
        <is>
          <t>Root</t>
        </is>
      </c>
      <c r="E2" t="inlineStr">
        <is>
          <t>Root handles a request</t>
        </is>
      </c>
    </row>
    <row r="3">
      <c r="A3" t="inlineStr">
        <is>
          <t>shared-row</t>
        </is>
      </c>
      <c r="B3" t="inlineStr">
        <is>
          <t>Cara</t>
        </is>
      </c>
      <c r="C3" t="inlineStr">
        <is>
          <t>cara</t>
        </is>
      </c>
      <c r="D3" t="inlineStr">
        <is>
          <t>Cara</t>
        </is>
      </c>
      <c r="E3" t="inlineStr">
        <is>
          <t>Cara handles a request</t>
        </is>
      </c>
    </row>
    <row r="4">
      <c r="A4" t="inlineStr">
        <is>
          <t>fccadf8a-040e-5986-823e-550c20621469</t>
        </is>
      </c>
      <c r="B4" t="inlineStr">
        <is>
          <t>Alice</t>
        </is>
      </c>
      <c r="C4" t="inlineStr">
        <is>
          <t>alice</t>
        </is>
      </c>
      <c r="D4" t="inlineStr">
        <is>
          <t>Alice</t>
        </is>
      </c>
      <c r="E4" t="inlineStr">
        <is>
          <t>Alice handles a request</t>
        </is>
      </c>
    </row>
    <row r="5">
      <c r="A5" t="inlineStr">
        <is>
          <t>df326191-e9f7-5439-a544-ae2e7f9efb1e</t>
        </is>
      </c>
      <c r="B5" t="inlineStr">
        <is>
          <t>Bob</t>
        </is>
      </c>
      <c r="C5" t="inlineStr">
        <is>
          <t>bob</t>
        </is>
      </c>
      <c r="D5" t="inlineStr">
        <is>
          <t>Bob</t>
        </is>
      </c>
      <c r="E5" t="inlineStr">
        <is>
          <t>Bob handles a request</t>
        </is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1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Root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10</v>
      </c>
      <c r="F2" s="2" t="n">
        <v>1</v>
      </c>
      <c r="G2" s="2" t="n">
        <v>30</v>
      </c>
      <c r="H2" s="2" t="n">
        <v>1000</v>
      </c>
      <c r="I2" s="2">
        <f>IF(D2="daily_users",E2*F2*G2,H2)</f>
        <v/>
      </c>
      <c r="J2" s="2">
        <f>C2*I2</f>
        <v/>
      </c>
      <c r="K2" t="inlineStr">
        <is>
          <t>root-row</t>
        </is>
      </c>
    </row>
    <row r="3">
      <c r="A3" t="inlineStr">
        <is>
          <t>Cara</t>
        </is>
      </c>
      <c r="B3" t="inlineStr">
        <is>
          <t>simple</t>
        </is>
      </c>
      <c r="C3" s="2" t="n">
        <v>1</v>
      </c>
      <c r="D3" t="inlineStr">
        <is>
          <t>daily_users</t>
        </is>
      </c>
      <c r="E3" s="2" t="n">
        <v>1</v>
      </c>
      <c r="F3" s="2" t="n">
        <v>1</v>
      </c>
      <c r="G3" s="2" t="n">
        <v>30</v>
      </c>
      <c r="H3" s="2" t="n">
        <v>1000</v>
      </c>
      <c r="I3" s="2">
        <f>IF(D3="daily_users",E3*F3*G3,H3)</f>
        <v/>
      </c>
      <c r="J3" s="2">
        <f>C3*I3</f>
        <v/>
      </c>
      <c r="K3" t="inlineStr">
        <is>
          <t>shared-row</t>
        </is>
      </c>
    </row>
    <row r="4">
      <c r="A4" t="inlineStr">
        <is>
          <t>Alice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1</v>
      </c>
      <c r="F4" s="2" t="n">
        <v>1</v>
      </c>
      <c r="G4" s="2" t="n">
        <v>30</v>
      </c>
      <c r="H4" s="2" t="n">
        <v>1000</v>
      </c>
      <c r="I4" s="2" t="n">
        <v>240</v>
      </c>
      <c r="J4" s="2">
        <f>C4*I4</f>
        <v/>
      </c>
      <c r="K4" t="inlineStr">
        <is>
          <t>fccadf8a-040e-5986-823e-550c20621469</t>
        </is>
      </c>
      <c r="L4" t="inlineStr">
        <is>
          <t>daily_users</t>
        </is>
      </c>
    </row>
    <row r="5">
      <c r="A5" t="inlineStr">
        <is>
          <t>Bob</t>
        </is>
      </c>
      <c r="B5" t="inlineStr">
        <is>
          <t>simple</t>
        </is>
      </c>
      <c r="C5" s="2" t="n">
        <v>1</v>
      </c>
      <c r="D5" t="inlineStr">
        <is>
          <t>derived</t>
        </is>
      </c>
      <c r="E5" s="2" t="n">
        <v>1</v>
      </c>
      <c r="F5" s="2" t="n">
        <v>1</v>
      </c>
      <c r="G5" s="2" t="n">
        <v>30</v>
      </c>
      <c r="H5" s="2" t="n">
        <v>1000</v>
      </c>
      <c r="I5" s="2" t="n">
        <v>60</v>
      </c>
      <c r="J5" s="2">
        <f>C5*I5</f>
        <v/>
      </c>
      <c r="K5" t="inlineStr">
        <is>
          <t>df326191-e9f7-5439-a544-ae2e7f9efb1e</t>
        </is>
      </c>
      <c r="L5" t="inlineStr">
        <is>
          <t>daily_users</t>
        </is>
      </c>
    </row>
  </sheetData>
  <autoFilter ref="A1:L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41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29" customWidth="1" min="12" max="12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Caller step</t>
        </is>
      </c>
      <c r="E1" s="1" t="inlineStr">
        <is>
          <t>Selection probability</t>
        </is>
      </c>
      <c r="F1" s="1" t="inlineStr">
        <is>
          <t>Parent invocations/month (precomputed)</t>
        </is>
      </c>
      <c r="G1" s="1" t="inlineStr">
        <is>
          <t>Child invocations/month</t>
        </is>
      </c>
      <c r="H1" s="1" t="inlineStr">
        <is>
          <t>Status</t>
        </is>
      </c>
      <c r="I1" s="1" t="inlineStr">
        <is>
          <t>Link ID</t>
        </is>
      </c>
      <c r="J1" s="1" t="inlineStr">
        <is>
          <t>Parent row ID</t>
        </is>
      </c>
      <c r="K1" s="1" t="inlineStr">
        <is>
          <t>Child row ID</t>
        </is>
      </c>
      <c r="L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Alice</t>
        </is>
      </c>
      <c r="D2" t="inlineStr">
        <is>
          <t>Step 2</t>
        </is>
      </c>
      <c r="E2" s="2" t="n">
        <v>0.8</v>
      </c>
      <c r="F2" s="2" t="n">
        <v>300</v>
      </c>
      <c r="G2" s="2">
        <f>E2*F2*L2</f>
        <v/>
      </c>
      <c r="H2" t="inlineStr">
        <is>
          <t>Complete</t>
        </is>
      </c>
      <c r="I2" t="inlineStr">
        <is>
          <t>f8c8132f-fae6-48ca-be6d-87608dc8a1c0</t>
        </is>
      </c>
      <c r="J2" t="inlineStr">
        <is>
          <t>root-row</t>
        </is>
      </c>
      <c r="K2" t="inlineStr">
        <is>
          <t>fccadf8a-040e-5986-823e-550c20621469</t>
        </is>
      </c>
      <c r="L2" s="2" t="n">
        <v>1</v>
      </c>
    </row>
    <row r="3">
      <c r="A3" t="inlineStr">
        <is>
          <t>Low</t>
        </is>
      </c>
      <c r="B3" t="inlineStr">
        <is>
          <t>Root</t>
        </is>
      </c>
      <c r="C3" t="inlineStr">
        <is>
          <t>Bob</t>
        </is>
      </c>
      <c r="D3" t="inlineStr">
        <is>
          <t>Step 2</t>
        </is>
      </c>
      <c r="E3" s="2" t="n">
        <v>0.2</v>
      </c>
      <c r="F3" s="2" t="n">
        <v>300</v>
      </c>
      <c r="G3" s="2">
        <f>E3*F3*L3</f>
        <v/>
      </c>
      <c r="H3" t="inlineStr">
        <is>
          <t>Complete</t>
        </is>
      </c>
      <c r="I3" t="inlineStr">
        <is>
          <t>7c380bbb-25d1-4f02-9b21-fdaeaa5e09b6</t>
        </is>
      </c>
      <c r="J3" t="inlineStr">
        <is>
          <t>root-row</t>
        </is>
      </c>
      <c r="K3" t="inlineStr">
        <is>
          <t>df326191-e9f7-5439-a544-ae2e7f9efb1e</t>
        </is>
      </c>
      <c r="L3" s="2" t="n">
        <v>1</v>
      </c>
    </row>
    <row r="4">
      <c r="A4" t="inlineStr">
        <is>
          <t>Expected</t>
        </is>
      </c>
      <c r="B4" t="inlineStr">
        <is>
          <t>Root</t>
        </is>
      </c>
      <c r="C4" t="inlineStr">
        <is>
          <t>Alice</t>
        </is>
      </c>
      <c r="D4" t="inlineStr">
        <is>
          <t>Step 2</t>
        </is>
      </c>
      <c r="E4" s="2" t="n">
        <v>0.8</v>
      </c>
      <c r="F4" s="2" t="n">
        <v>300</v>
      </c>
      <c r="G4" s="2">
        <f>E4*F4*L4</f>
        <v/>
      </c>
      <c r="H4" t="inlineStr">
        <is>
          <t>Complete</t>
        </is>
      </c>
      <c r="I4" t="inlineStr">
        <is>
          <t>f8c8132f-fae6-48ca-be6d-87608dc8a1c0</t>
        </is>
      </c>
      <c r="J4" t="inlineStr">
        <is>
          <t>root-row</t>
        </is>
      </c>
      <c r="K4" t="inlineStr">
        <is>
          <t>fccadf8a-040e-5986-823e-550c20621469</t>
        </is>
      </c>
      <c r="L4" s="2" t="n">
        <v>1</v>
      </c>
    </row>
    <row r="5">
      <c r="A5" t="inlineStr">
        <is>
          <t>Expected</t>
        </is>
      </c>
      <c r="B5" t="inlineStr">
        <is>
          <t>Root</t>
        </is>
      </c>
      <c r="C5" t="inlineStr">
        <is>
          <t>Bob</t>
        </is>
      </c>
      <c r="D5" t="inlineStr">
        <is>
          <t>Step 2</t>
        </is>
      </c>
      <c r="E5" s="2" t="n">
        <v>0.2</v>
      </c>
      <c r="F5" s="2" t="n">
        <v>300</v>
      </c>
      <c r="G5" s="2">
        <f>E5*F5*L5</f>
        <v/>
      </c>
      <c r="H5" t="inlineStr">
        <is>
          <t>Complete</t>
        </is>
      </c>
      <c r="I5" t="inlineStr">
        <is>
          <t>7c380bbb-25d1-4f02-9b21-fdaeaa5e09b6</t>
        </is>
      </c>
      <c r="J5" t="inlineStr">
        <is>
          <t>root-row</t>
        </is>
      </c>
      <c r="K5" t="inlineStr">
        <is>
          <t>df326191-e9f7-5439-a544-ae2e7f9efb1e</t>
        </is>
      </c>
      <c r="L5" s="2" t="n">
        <v>1</v>
      </c>
    </row>
    <row r="6">
      <c r="A6" t="inlineStr">
        <is>
          <t>High</t>
        </is>
      </c>
      <c r="B6" t="inlineStr">
        <is>
          <t>Root</t>
        </is>
      </c>
      <c r="C6" t="inlineStr">
        <is>
          <t>Alice</t>
        </is>
      </c>
      <c r="D6" t="inlineStr">
        <is>
          <t>Step 2</t>
        </is>
      </c>
      <c r="E6" s="2" t="n">
        <v>0.8</v>
      </c>
      <c r="F6" s="2" t="n">
        <v>300</v>
      </c>
      <c r="G6" s="2">
        <f>E6*F6*L6</f>
        <v/>
      </c>
      <c r="H6" t="inlineStr">
        <is>
          <t>Complete</t>
        </is>
      </c>
      <c r="I6" t="inlineStr">
        <is>
          <t>f8c8132f-fae6-48ca-be6d-87608dc8a1c0</t>
        </is>
      </c>
      <c r="J6" t="inlineStr">
        <is>
          <t>root-row</t>
        </is>
      </c>
      <c r="K6" t="inlineStr">
        <is>
          <t>fccadf8a-040e-5986-823e-550c20621469</t>
        </is>
      </c>
      <c r="L6" s="2" t="n">
        <v>1</v>
      </c>
    </row>
    <row r="7">
      <c r="A7" t="inlineStr">
        <is>
          <t>High</t>
        </is>
      </c>
      <c r="B7" t="inlineStr">
        <is>
          <t>Root</t>
        </is>
      </c>
      <c r="C7" t="inlineStr">
        <is>
          <t>Bob</t>
        </is>
      </c>
      <c r="D7" t="inlineStr">
        <is>
          <t>Step 2</t>
        </is>
      </c>
      <c r="E7" s="2" t="n">
        <v>0.2</v>
      </c>
      <c r="F7" s="2" t="n">
        <v>300</v>
      </c>
      <c r="G7" s="2">
        <f>E7*F7*L7</f>
        <v/>
      </c>
      <c r="H7" t="inlineStr">
        <is>
          <t>Complete</t>
        </is>
      </c>
      <c r="I7" t="inlineStr">
        <is>
          <t>7c380bbb-25d1-4f02-9b21-fdaeaa5e09b6</t>
        </is>
      </c>
      <c r="J7" t="inlineStr">
        <is>
          <t>root-row</t>
        </is>
      </c>
      <c r="K7" t="inlineStr">
        <is>
          <t>df326191-e9f7-5439-a544-ae2e7f9efb1e</t>
        </is>
      </c>
      <c r="L7" s="2" t="n">
        <v>1</v>
      </c>
    </row>
  </sheetData>
  <autoFilter ref="A1:L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630</v>
      </c>
      <c r="F2" s="2" t="n">
        <v>0</v>
      </c>
      <c r="G2" s="2" t="n">
        <v>660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630</v>
      </c>
      <c r="F3" s="2" t="n">
        <v>0</v>
      </c>
      <c r="G3" s="2" t="n">
        <v>660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630</v>
      </c>
      <c r="F4" s="2" t="n">
        <v>0</v>
      </c>
      <c r="G4" s="2" t="n">
        <v>660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Root</t>
        </is>
      </c>
      <c r="D2" s="2" t="n">
        <v>300</v>
      </c>
      <c r="E2" s="2" t="n">
        <v>0.0015</v>
      </c>
      <c r="F2" s="2" t="n">
        <v>0</v>
      </c>
      <c r="G2" s="2" t="n">
        <v>0.0042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Cara</t>
        </is>
      </c>
      <c r="C3" t="inlineStr">
        <is>
          <t>Cara</t>
        </is>
      </c>
      <c r="D3" s="2" t="n">
        <v>30</v>
      </c>
      <c r="E3" s="2" t="n">
        <v>0.0015</v>
      </c>
      <c r="F3" s="2" t="n">
        <v>0</v>
      </c>
      <c r="G3" s="2" t="n">
        <v>0.0015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Alice</t>
        </is>
      </c>
      <c r="C4" t="inlineStr">
        <is>
          <t>Alice</t>
        </is>
      </c>
      <c r="D4" s="2" t="n">
        <v>240</v>
      </c>
      <c r="E4" s="2" t="n">
        <v>0.0015</v>
      </c>
      <c r="F4" s="2" t="n">
        <v>0</v>
      </c>
      <c r="G4" s="2" t="n">
        <v>0.0015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Bob</t>
        </is>
      </c>
      <c r="C5" t="inlineStr">
        <is>
          <t>Bob</t>
        </is>
      </c>
      <c r="D5" s="2" t="n">
        <v>60</v>
      </c>
      <c r="E5" s="2" t="n">
        <v>0.0075</v>
      </c>
      <c r="F5" s="2" t="n">
        <v>0</v>
      </c>
      <c r="G5" s="2" t="n">
        <v>0.0075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Root</t>
        </is>
      </c>
      <c r="C6" t="inlineStr">
        <is>
          <t>Root</t>
        </is>
      </c>
      <c r="D6" s="2" t="n">
        <v>300</v>
      </c>
      <c r="E6" s="2" t="n">
        <v>0.002</v>
      </c>
      <c r="F6" s="2" t="n">
        <v>0</v>
      </c>
      <c r="G6" s="2" t="n">
        <v>0.0056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Cara</t>
        </is>
      </c>
      <c r="C7" t="inlineStr">
        <is>
          <t>Cara</t>
        </is>
      </c>
      <c r="D7" s="2" t="n">
        <v>30</v>
      </c>
      <c r="E7" s="2" t="n">
        <v>0.002</v>
      </c>
      <c r="F7" s="2" t="n">
        <v>0</v>
      </c>
      <c r="G7" s="2" t="n">
        <v>0.002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Alice</t>
        </is>
      </c>
      <c r="C8" t="inlineStr">
        <is>
          <t>Alice</t>
        </is>
      </c>
      <c r="D8" s="2" t="n">
        <v>240</v>
      </c>
      <c r="E8" s="2" t="n">
        <v>0.002</v>
      </c>
      <c r="F8" s="2" t="n">
        <v>0</v>
      </c>
      <c r="G8" s="2" t="n">
        <v>0.002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Bob</t>
        </is>
      </c>
      <c r="C9" t="inlineStr">
        <is>
          <t>Bob</t>
        </is>
      </c>
      <c r="D9" s="2" t="n">
        <v>60</v>
      </c>
      <c r="E9" s="2" t="n">
        <v>0.01</v>
      </c>
      <c r="F9" s="2" t="n">
        <v>0</v>
      </c>
      <c r="G9" s="2" t="n">
        <v>0.01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Root</t>
        </is>
      </c>
      <c r="C10" t="inlineStr">
        <is>
          <t>Root</t>
        </is>
      </c>
      <c r="D10" s="2" t="n">
        <v>300</v>
      </c>
      <c r="E10" s="2" t="n">
        <v>0.003</v>
      </c>
      <c r="F10" s="2" t="n">
        <v>0</v>
      </c>
      <c r="G10" s="2" t="n">
        <v>0.008399999999999999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Cara</t>
        </is>
      </c>
      <c r="C11" t="inlineStr">
        <is>
          <t>Cara</t>
        </is>
      </c>
      <c r="D11" s="2" t="n">
        <v>30</v>
      </c>
      <c r="E11" s="2" t="n">
        <v>0.003</v>
      </c>
      <c r="F11" s="2" t="n">
        <v>0</v>
      </c>
      <c r="G11" s="2" t="n">
        <v>0.003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Alice</t>
        </is>
      </c>
      <c r="C12" t="inlineStr">
        <is>
          <t>Alice</t>
        </is>
      </c>
      <c r="D12" s="2" t="n">
        <v>240</v>
      </c>
      <c r="E12" s="2" t="n">
        <v>0.003</v>
      </c>
      <c r="F12" s="2" t="n">
        <v>0</v>
      </c>
      <c r="G12" s="2" t="n">
        <v>0.003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Bob</t>
        </is>
      </c>
      <c r="C13" t="inlineStr">
        <is>
          <t>Bob</t>
        </is>
      </c>
      <c r="D13" s="2" t="n">
        <v>60</v>
      </c>
      <c r="E13" s="2" t="n">
        <v>0.015</v>
      </c>
      <c r="F13" s="2" t="n">
        <v>0</v>
      </c>
      <c r="G13" s="2" t="n">
        <v>0.015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  <row r="5">
      <c r="A5" t="inlineStr">
        <is>
          <t>Research intensive</t>
        </is>
      </c>
      <c r="B5" s="2">
        <f>SUMIF(Volume!B2:B5,A5,Volume!J2:J5)</f>
        <v/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SUMIFS(Calculations!R2:R13,Calculations!A2:A13,"Expected",Calculations!AF2:AF13,A2)</f>
        <v/>
      </c>
      <c r="C2" s="2">
        <f>SUMIFS(Calculations!S2:S13,Calculations!A2:A13,"Expected",Calculations!AF2:AF13,A2)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SUMIFS(Calculations!R2:R13,Calculations!A2:A13,"Expected",Calculations!AF2:AF13,A3)</f>
        <v/>
      </c>
      <c r="C3" s="2">
        <f>SUMIFS(Calculations!S2:S13,Calculations!A2:A13,"Expected",Calculations!AF2:AF13,A3)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SUMIFS(Calculations!R2:R13,Calculations!A2:A13,"Expected",Calculations!AF2:AF13,A4)</f>
        <v/>
      </c>
      <c r="C4" s="2">
        <f>SUMIFS(Calculations!S2:S13,Calculations!A2:A13,"Expected",Calculations!AF2:AF13,A4)</f>
        <v/>
      </c>
      <c r="D4" s="2">
        <f>B4+C4</f>
        <v/>
      </c>
      <c r="E4" s="2">
        <f>D4/F4</f>
        <v/>
      </c>
      <c r="F4" s="2" t="n">
        <v>30</v>
      </c>
    </row>
    <row r="5">
      <c r="A5" t="inlineStr">
        <is>
          <t>Research intensive</t>
        </is>
      </c>
      <c r="B5" s="2">
        <f>SUMIFS(Calculations!R2:R13,Calculations!A2:A13,"Expected",Calculations!AF2:AF13,A5)</f>
        <v/>
      </c>
      <c r="C5" s="2">
        <f>SUMIFS(Calculations!S2:S13,Calculations!A2:A13,"Expected",Calculations!AF2:AF13,A5)</f>
        <v/>
      </c>
      <c r="D5" s="2">
        <f>B5+C5</f>
        <v/>
      </c>
      <c r="E5" s="2">
        <f>D5/F5</f>
        <v/>
      </c>
      <c r="F5" s="2" t="n">
        <v>30</v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SUMIFS(Calculations!AG2:AG13,Calculations!A2:A13,"Expected",Calculations!AF2:AF13,A2)</f>
        <v/>
      </c>
      <c r="D2" s="2">
        <f>SUMIFS(Calculations!T2:T13,Calculations!A2:A13,"Expected",Calculations!AF2:AF13,A2)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SUMIFS(Calculations!AH2:AH13,Calculations!A2:A13,"Expected",Calculations!AF2:AF13,A3)</f>
        <v/>
      </c>
      <c r="D3" s="2">
        <f>SUMIFS(Calculations!V2:V13,Calculations!A2:A13,"Expected",Calculations!AF2:AF13,A3)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SUMIFS(Calculations!AI2:AI13,Calculations!A2:A13,"Expected",Calculations!AF2:AF13,A4)</f>
        <v/>
      </c>
      <c r="D4" s="2">
        <f>SUMIFS(Calculations!W2:W13,Calculations!A2:A13,"Expected",Calculations!AF2:AF13,A4)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SUMIFS(Calculations!S2:S13,Calculations!A2:A13,"Expected",Calculations!AF2:AF13,A5)</f>
        <v/>
      </c>
      <c r="D5" s="2">
        <f>SUMIFS(Calculations!U2:U13,Calculations!A2:A13,"Expected",Calculations!AF2:AF13,A5)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SUMIFS(Calculations!AG2:AG13,Calculations!A2:A13,"Expected",Calculations!AF2:AF13,A7)</f>
        <v/>
      </c>
      <c r="D7" s="2">
        <f>SUMIFS(Calculations!T2:T13,Calculations!A2:A13,"Expected",Calculations!AF2:AF13,A7)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SUMIFS(Calculations!AH2:AH13,Calculations!A2:A13,"Expected",Calculations!AF2:AF13,A8)</f>
        <v/>
      </c>
      <c r="D8" s="2">
        <f>SUMIFS(Calculations!V2:V13,Calculations!A2:A13,"Expected",Calculations!AF2:AF13,A8)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SUMIFS(Calculations!AI2:AI13,Calculations!A2:A13,"Expected",Calculations!AF2:AF13,A9)</f>
        <v/>
      </c>
      <c r="D9" s="2">
        <f>SUMIFS(Calculations!W2:W13,Calculations!A2:A13,"Expected",Calculations!AF2:AF13,A9)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SUMIFS(Calculations!S2:S13,Calculations!A2:A13,"Expected",Calculations!AF2:AF13,A10)</f>
        <v/>
      </c>
      <c r="D10" s="2">
        <f>SUMIFS(Calculations!U2:U13,Calculations!A2:A13,"Expected",Calculations!AF2:AF13,A10)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SUMIFS(Calculations!AG2:AG13,Calculations!A2:A13,"Expected",Calculations!AF2:AF13,A12)</f>
        <v/>
      </c>
      <c r="D12" s="2">
        <f>SUMIFS(Calculations!T2:T13,Calculations!A2:A13,"Expected",Calculations!AF2:AF13,A12)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SUMIFS(Calculations!AH2:AH13,Calculations!A2:A13,"Expected",Calculations!AF2:AF13,A13)</f>
        <v/>
      </c>
      <c r="D13" s="2">
        <f>SUMIFS(Calculations!V2:V13,Calculations!A2:A13,"Expected",Calculations!AF2:AF13,A13)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SUMIFS(Calculations!AI2:AI13,Calculations!A2:A13,"Expected",Calculations!AF2:AF13,A14)</f>
        <v/>
      </c>
      <c r="D14" s="2">
        <f>SUMIFS(Calculations!W2:W13,Calculations!A2:A13,"Expected",Calculations!AF2:AF13,A14)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SUMIFS(Calculations!S2:S13,Calculations!A2:A13,"Expected",Calculations!AF2:AF13,A15)</f>
        <v/>
      </c>
      <c r="D15" s="2">
        <f>SUMIFS(Calculations!U2:U13,Calculations!A2:A13,"Expected",Calculations!AF2:AF13,A15)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  <row r="17">
      <c r="A17" t="inlineStr">
        <is>
          <t>Research intensive</t>
        </is>
      </c>
      <c r="B17" t="inlineStr">
        <is>
          <t>Uncached input</t>
        </is>
      </c>
      <c r="C17" s="2">
        <f>SUMIFS(Calculations!AG2:AG13,Calculations!A2:A13,"Expected",Calculations!AF2:AF13,A17)</f>
        <v/>
      </c>
      <c r="D17" s="2">
        <f>SUMIFS(Calculations!T2:T13,Calculations!A2:A13,"Expected",Calculations!AF2:AF13,A17)</f>
        <v/>
      </c>
      <c r="E17" s="2">
        <f>IF(C17=0,"",D17*1000000/C17)</f>
        <v/>
      </c>
      <c r="F17" t="inlineStr">
        <is>
          <t>Complete</t>
        </is>
      </c>
      <c r="G17" s="2">
        <f>C17/I17</f>
        <v/>
      </c>
      <c r="H17" s="2">
        <f>D17/I17</f>
        <v/>
      </c>
      <c r="I17" s="2" t="n">
        <v>30</v>
      </c>
    </row>
    <row r="18">
      <c r="A18" t="inlineStr">
        <is>
          <t>Research intensive</t>
        </is>
      </c>
      <c r="B18" t="inlineStr">
        <is>
          <t>Cached input read</t>
        </is>
      </c>
      <c r="C18" s="2">
        <f>SUMIFS(Calculations!AH2:AH13,Calculations!A2:A13,"Expected",Calculations!AF2:AF13,A18)</f>
        <v/>
      </c>
      <c r="D18" s="2">
        <f>SUMIFS(Calculations!V2:V13,Calculations!A2:A13,"Expected",Calculations!AF2:AF13,A18)</f>
        <v/>
      </c>
      <c r="E18" s="2">
        <f>IF(C18=0,"",D18*1000000/C18)</f>
        <v/>
      </c>
      <c r="F18" t="inlineStr">
        <is>
          <t>Complete</t>
        </is>
      </c>
      <c r="G18" s="2">
        <f>C18/I18</f>
        <v/>
      </c>
      <c r="H18" s="2">
        <f>D18/I18</f>
        <v/>
      </c>
      <c r="I18" s="2" t="n">
        <v>30</v>
      </c>
    </row>
    <row r="19">
      <c r="A19" t="inlineStr">
        <is>
          <t>Research intensive</t>
        </is>
      </c>
      <c r="B19" t="inlineStr">
        <is>
          <t>Input cache write</t>
        </is>
      </c>
      <c r="C19" s="2">
        <f>SUMIFS(Calculations!AI2:AI13,Calculations!A2:A13,"Expected",Calculations!AF2:AF13,A19)</f>
        <v/>
      </c>
      <c r="D19" s="2">
        <f>SUMIFS(Calculations!W2:W13,Calculations!A2:A13,"Expected",Calculations!AF2:AF13,A19)</f>
        <v/>
      </c>
      <c r="E19" s="2">
        <f>IF(C19=0,"",D19*1000000/C19)</f>
        <v/>
      </c>
      <c r="F19" t="inlineStr">
        <is>
          <t>Complete</t>
        </is>
      </c>
      <c r="G19" s="2">
        <f>C19/I19</f>
        <v/>
      </c>
      <c r="H19" s="2">
        <f>D19/I19</f>
        <v/>
      </c>
      <c r="I19" s="2" t="n">
        <v>30</v>
      </c>
    </row>
    <row r="20">
      <c r="A20" t="inlineStr">
        <is>
          <t>Research intensive</t>
        </is>
      </c>
      <c r="B20" t="inlineStr">
        <is>
          <t>Output incl. reasoning</t>
        </is>
      </c>
      <c r="C20" s="2">
        <f>SUMIFS(Calculations!S2:S13,Calculations!A2:A13,"Expected",Calculations!AF2:AF13,A20)</f>
        <v/>
      </c>
      <c r="D20" s="2">
        <f>SUMIFS(Calculations!U2:U13,Calculations!A2:A13,"Expected",Calculations!AF2:AF13,A20)</f>
        <v/>
      </c>
      <c r="E20" s="2">
        <f>IF(C20=0,"",D20*1000000/C20)</f>
        <v/>
      </c>
      <c r="F20" t="inlineStr">
        <is>
          <t>Complete</t>
        </is>
      </c>
      <c r="G20" s="2">
        <f>C20/I20</f>
        <v/>
      </c>
      <c r="H20" s="2">
        <f>D20/I20</f>
        <v/>
      </c>
      <c r="I20" s="2" t="n">
        <v>30</v>
      </c>
    </row>
    <row r="21">
      <c r="A21" t="inlineStr">
        <is>
          <t>Research intensive</t>
        </is>
      </c>
      <c r="B21" t="inlineStr">
        <is>
          <t>Total</t>
        </is>
      </c>
      <c r="C21" s="2">
        <f>SUM(C17:C20)</f>
        <v/>
      </c>
      <c r="D21" s="2">
        <f>SUM(D17:D20)</f>
        <v/>
      </c>
      <c r="F21" t="inlineStr">
        <is>
          <t>Complete</t>
        </is>
      </c>
      <c r="G21" s="2">
        <f>C21/I21</f>
        <v/>
      </c>
      <c r="H21" s="2">
        <f>D21/I21</f>
        <v/>
      </c>
      <c r="I21" s="2" t="n">
        <v>30</v>
      </c>
    </row>
  </sheetData>
  <autoFilter ref="A1:I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SUMIFS(Calculations!R2:R13,Calculations!A2:A13,A2)</f>
        <v/>
      </c>
      <c r="C2" s="2">
        <f>SUMIFS(Calculations!T2:T13,Calculations!A2:A13,A2)+SUMIFS(Calculations!V2:V13,Calculations!A2:A13,A2)+SUMIFS(Calculations!W2:W13,Calculations!A2:A13,A2)</f>
        <v/>
      </c>
      <c r="D2" s="2">
        <f>SUMIFS(Calculations!S2:S13,Calculations!A2:A13,A2)</f>
        <v/>
      </c>
      <c r="E2" s="2">
        <f>SUMIFS(Calculations!U2:U13,Calculations!A2:A13,A2)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SUMIFS(Calculations!R2:R13,Calculations!A2:A13,A3)</f>
        <v/>
      </c>
      <c r="C3" s="2">
        <f>SUMIFS(Calculations!T2:T13,Calculations!A2:A13,A3)+SUMIFS(Calculations!V2:V13,Calculations!A2:A13,A3)+SUMIFS(Calculations!W2:W13,Calculations!A2:A13,A3)</f>
        <v/>
      </c>
      <c r="D3" s="2">
        <f>SUMIFS(Calculations!S2:S13,Calculations!A2:A13,A3)</f>
        <v/>
      </c>
      <c r="E3" s="2">
        <f>SUMIFS(Calculations!U2:U13,Calculations!A2:A13,A3)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SUMIFS(Calculations!R2:R13,Calculations!A2:A13,A4)</f>
        <v/>
      </c>
      <c r="C4" s="2">
        <f>SUMIFS(Calculations!T2:T13,Calculations!A2:A13,A4)+SUMIFS(Calculations!V2:V13,Calculations!A2:A13,A4)+SUMIFS(Calculations!W2:W13,Calculations!A2:A13,A4)</f>
        <v/>
      </c>
      <c r="D4" s="2">
        <f>SUMIFS(Calculations!S2:S13,Calculations!A2:A13,A4)</f>
        <v/>
      </c>
      <c r="E4" s="2">
        <f>SUMIFS(Calculations!U2:U13,Calculations!A2:A13,A4)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Research intensive</t>
        </is>
      </c>
      <c r="B5" s="2">
        <f>'Category usage'!B5</f>
        <v/>
      </c>
      <c r="C5" s="2">
        <f>SUM('Category costs'!D17:D19)</f>
        <v/>
      </c>
      <c r="D5" s="2">
        <f>'Category usage'!C5</f>
        <v/>
      </c>
      <c r="E5" s="2">
        <f>'Category costs'!D20</f>
        <v/>
      </c>
      <c r="F5" s="2">
        <f>B5+D5</f>
        <v/>
      </c>
      <c r="G5" s="2">
        <f>C5+E5</f>
        <v/>
      </c>
      <c r="H5" t="inlineStr">
        <is>
          <t>Complete</t>
        </is>
      </c>
    </row>
    <row r="6">
      <c r="A6" t="inlineStr">
        <is>
          <t>Suite total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B6+D6</f>
        <v/>
      </c>
      <c r="G6" s="2">
        <f>C6+E6</f>
        <v/>
      </c>
      <c r="H6" t="inlineStr">
        <is>
          <t>Complete</t>
        </is>
      </c>
    </row>
  </sheetData>
  <autoFilter ref="A1:H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Research intensive</t>
        </is>
      </c>
      <c r="B5" t="inlineStr">
        <is>
          <t>2</t>
        </is>
      </c>
      <c r="C5" t="inlineStr">
        <is>
          <t>1000</t>
        </is>
      </c>
      <c r="D5" t="inlineStr">
        <is>
          <t>500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A</t>
        </is>
      </c>
      <c r="B2" t="inlineStr">
        <is>
          <t>Synthetic fixture</t>
        </is>
      </c>
      <c r="C2" s="2" t="n">
        <v>2</v>
      </c>
      <c r="D2" s="2" t="n">
        <v>0</v>
      </c>
      <c r="G2" t="inlineStr">
        <is>
          <t>Individual targets v1</t>
        </is>
      </c>
      <c r="H2" t="inlineStr">
        <is>
          <t>2026-10-05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B</t>
        </is>
      </c>
      <c r="B3" t="inlineStr">
        <is>
          <t>Synthetic fixture</t>
        </is>
      </c>
      <c r="C3" s="2" t="n">
        <v>10</v>
      </c>
      <c r="D3" s="2" t="n">
        <v>0</v>
      </c>
      <c r="G3" t="inlineStr">
        <is>
          <t>Individual targets v1</t>
        </is>
      </c>
      <c r="H3" t="inlineStr">
        <is>
          <t>2026-10-05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Individual target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selection and step execution probabilities and child contributions (one invocation per selected target).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10;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2026-10-05T16:43:58Z</dcterms:created>
  <dcterms:modified xsi:type="dcterms:W3CDTF">2026-10-05T16:43:58Z</dcterms:modified>
</cp:coreProperties>
</file>