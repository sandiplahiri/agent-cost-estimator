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Agent identities" sheetId="4" state="visible" r:id="rId4"/>
    <sheet name="Volume" sheetId="5" state="visible" r:id="rId5"/>
    <sheet name="Agent links" sheetId="6" state="visible" r:id="rId6"/>
    <sheet name="Tool costs" sheetId="7" state="visible" r:id="rId7"/>
    <sheet name="Harness" sheetId="8" state="visible" r:id="rId8"/>
    <sheet name="Use cases" sheetId="9" state="visible" r:id="rId9"/>
    <sheet name="Category totals" sheetId="10" state="visible" r:id="rId10"/>
    <sheet name="Category usage" sheetId="11" state="visible" r:id="rId11"/>
    <sheet name="Category costs" sheetId="12" state="visible" r:id="rId12"/>
    <sheet name="Monthly category summary" sheetId="13" state="visible" r:id="rId13"/>
    <sheet name="Profiles" sheetId="14" state="visible" r:id="rId14"/>
    <sheet name="Scenarios" sheetId="15" state="visible" r:id="rId15"/>
    <sheet name="Additional costs" sheetId="16" state="visible" r:id="rId16"/>
    <sheet name="Pricing" sheetId="17" state="visible" r:id="rId17"/>
    <sheet name="Read me" sheetId="18" state="visible" r:id="rId18"/>
  </sheets>
  <definedNames>
    <definedName name="_xlnm._FilterDatabase" localSheetId="0" hidden="1">'Summary'!$A$1:$J$4</definedName>
    <definedName name="_xlnm._FilterDatabase" localSheetId="1" hidden="1">'Calculations'!$A$1:$AM$10</definedName>
    <definedName name="_xlnm._FilterDatabase" localSheetId="2" hidden="1">'Agents'!$A$1:$P$3</definedName>
    <definedName name="_xlnm._FilterDatabase" localSheetId="3" hidden="1">'Agent identities'!$A$1:$E$3</definedName>
    <definedName name="_xlnm._FilterDatabase" localSheetId="4" hidden="1">'Volume'!$A$1:$L$3</definedName>
    <definedName name="_xlnm._FilterDatabase" localSheetId="5" hidden="1">'Agent links'!$A$1:$M$4</definedName>
    <definedName name="_xlnm._FilterDatabase" localSheetId="6" hidden="1">'Tool costs'!$A$1:$J$4</definedName>
    <definedName name="_xlnm._FilterDatabase" localSheetId="7" hidden="1">'Harness'!$A$1:$K$4</definedName>
    <definedName name="_xlnm._FilterDatabase" localSheetId="8" hidden="1">'Use cases'!$A$1:$I$7</definedName>
    <definedName name="_xlnm._FilterDatabase" localSheetId="9" hidden="1">'Category totals'!$A$1:$B$4</definedName>
    <definedName name="_xlnm._FilterDatabase" localSheetId="10" hidden="1">'Category usage'!$A$1:$F$4</definedName>
    <definedName name="_xlnm._FilterDatabase" localSheetId="11" hidden="1">'Category costs'!$A$1:$I$16</definedName>
    <definedName name="_xlnm._FilterDatabase" localSheetId="12" hidden="1">'Monthly category summary'!$A$1:$H$5</definedName>
    <definedName name="_xlnm._FilterDatabase" localSheetId="13" hidden="1">'Profiles'!$A$1:$G$4</definedName>
    <definedName name="_xlnm._FilterDatabase" localSheetId="14" hidden="1">'Scenarios'!$A$1:$G$4</definedName>
    <definedName name="_xlnm._FilterDatabase" localSheetId="15" hidden="1">'Additional costs'!$A$1:$A$1</definedName>
    <definedName name="_xlnm._FilterDatabase" localSheetId="16" hidden="1">'Pricing'!$A$1:$R$3</definedName>
    <definedName name="_xlnm._FilterDatabase" localSheetId="17" hidden="1">'Read me'!$A$1:$B$19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  <col width="19" customWidth="1" min="9" max="9"/>
    <col width="22" customWidth="1" min="10" max="10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  <c r="I1" s="1" t="inlineStr">
        <is>
          <t>Tool monthly USD</t>
        </is>
      </c>
      <c r="J1" s="1" t="inlineStr">
        <is>
          <t>Harness monthly USD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B2+C2+I2+J2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  <c r="I2" s="2">
        <f>SUMIF('Tool costs'!A2:A2,A2,'Tool costs'!I2:I2)</f>
        <v/>
      </c>
      <c r="J2" s="2">
        <f>Harness!I2</f>
        <v/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B3+C3+I3+J3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  <c r="I3" s="2">
        <f>SUMIF('Tool costs'!A2:A3,A3,'Tool costs'!I2:I3)</f>
        <v/>
      </c>
      <c r="J3" s="2">
        <f>Harness!I3</f>
        <v/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B4+C4+I4+J4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  <c r="I4" s="2">
        <f>SUMIF('Tool costs'!A2:A4,A4,'Tool costs'!I2:I4)</f>
        <v/>
      </c>
      <c r="J4" s="2">
        <f>Harness!I4</f>
        <v/>
      </c>
    </row>
  </sheetData>
  <autoFilter ref="A1:J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  <col width="38" customWidth="1" min="36" max="36"/>
    <col width="27" customWidth="1" min="37" max="37"/>
    <col width="16" customWidth="1" min="38" max="38"/>
    <col width="16" customWidth="1" min="39" max="39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  <c r="AJ1" s="1" t="inlineStr">
        <is>
          <t>Raw calls/occurrence after scenario</t>
        </is>
      </c>
      <c r="AK1" s="1" t="inlineStr">
        <is>
          <t>Step x model probability</t>
        </is>
      </c>
      <c r="AL1" s="1" t="inlineStr">
        <is>
          <t>Step ID</t>
        </is>
      </c>
      <c r="AM1" s="1" t="inlineStr">
        <is>
          <t>Model role</t>
        </is>
      </c>
    </row>
    <row r="2">
      <c r="A2" t="inlineStr">
        <is>
          <t>Low</t>
        </is>
      </c>
      <c r="B2" t="inlineStr">
        <is>
          <t>Resolve inquiry</t>
        </is>
      </c>
      <c r="C2" t="inlineStr">
        <is>
          <t>Classify</t>
        </is>
      </c>
      <c r="D2" t="inlineStr">
        <is>
          <t>Fixture A</t>
        </is>
      </c>
      <c r="E2" s="2" t="n">
        <v>1</v>
      </c>
      <c r="F2" s="2">
        <f>IF(Z2="daily_users",AA2*AB2*AC2,AD2)*AE2</f>
        <v/>
      </c>
      <c r="G2" s="2">
        <f>AJ2*AK2</f>
        <v/>
      </c>
      <c r="H2" s="2" t="n">
        <v>0</v>
      </c>
      <c r="I2" s="2" t="n">
        <v>750</v>
      </c>
      <c r="J2" s="2" t="n">
        <v>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3.333333333333333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  <c r="AJ2" s="2" t="n">
        <v>1</v>
      </c>
      <c r="AK2" s="2" t="n">
        <v>1</v>
      </c>
      <c r="AL2" t="inlineStr">
        <is>
          <t>classify</t>
        </is>
      </c>
      <c r="AM2" t="inlineStr">
        <is>
          <t>reasoning</t>
        </is>
      </c>
    </row>
    <row r="3">
      <c r="A3" t="inlineStr">
        <is>
          <t>Low</t>
        </is>
      </c>
      <c r="B3" t="inlineStr">
        <is>
          <t>Resolve inquiry</t>
        </is>
      </c>
      <c r="C3" t="inlineStr">
        <is>
          <t>Verify</t>
        </is>
      </c>
      <c r="D3" t="inlineStr">
        <is>
          <t>Fixture A</t>
        </is>
      </c>
      <c r="E3" s="2" t="n">
        <v>1</v>
      </c>
      <c r="F3" s="2">
        <f>IF(Z3="daily_users",AA3*AB3*AC3,AD3)*AE3</f>
        <v/>
      </c>
      <c r="G3" s="2">
        <f>AJ3*AK3</f>
        <v/>
      </c>
      <c r="H3" s="2" t="n">
        <v>0</v>
      </c>
      <c r="I3" s="2" t="n">
        <v>150</v>
      </c>
      <c r="J3" s="2" t="n">
        <v>37.5</v>
      </c>
      <c r="K3" s="2" t="n">
        <v>0</v>
      </c>
      <c r="L3" s="2" t="n">
        <v>0</v>
      </c>
      <c r="M3" s="2" t="n">
        <v>2</v>
      </c>
      <c r="N3" s="2" t="n">
        <v>8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1</v>
      </c>
      <c r="AB3" s="2" t="n">
        <v>3.333333333333333</v>
      </c>
      <c r="AC3" s="2" t="n">
        <v>30</v>
      </c>
      <c r="AD3" s="2" t="n">
        <v>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  <c r="AJ3" s="2" t="n">
        <v>1</v>
      </c>
      <c r="AK3" s="2" t="n">
        <v>0.125</v>
      </c>
      <c r="AL3" t="inlineStr">
        <is>
          <t>verify</t>
        </is>
      </c>
      <c r="AM3" t="inlineStr">
        <is>
          <t>reasoning</t>
        </is>
      </c>
    </row>
    <row r="4">
      <c r="A4" t="inlineStr">
        <is>
          <t>Low</t>
        </is>
      </c>
      <c r="B4" t="inlineStr">
        <is>
          <t>Research documents</t>
        </is>
      </c>
      <c r="C4" t="inlineStr">
        <is>
          <t>Research</t>
        </is>
      </c>
      <c r="D4" t="inlineStr">
        <is>
          <t>Fixture B</t>
        </is>
      </c>
      <c r="E4" s="2" t="n">
        <v>1</v>
      </c>
      <c r="F4" s="2" t="n">
        <v>50</v>
      </c>
      <c r="G4" s="2">
        <f>AJ4*AK4</f>
        <v/>
      </c>
      <c r="H4" s="2" t="n">
        <v>0</v>
      </c>
      <c r="I4" s="2" t="n">
        <v>375</v>
      </c>
      <c r="J4" s="2" t="n">
        <v>75</v>
      </c>
      <c r="K4" s="2" t="n">
        <v>0</v>
      </c>
      <c r="L4" s="2" t="n">
        <v>0</v>
      </c>
      <c r="M4" s="2" t="n">
        <v>1</v>
      </c>
      <c r="N4" s="2" t="n">
        <v>4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derived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  <c r="AJ4" s="2" t="n">
        <v>2</v>
      </c>
      <c r="AK4" s="2" t="n">
        <v>1</v>
      </c>
      <c r="AL4" t="inlineStr">
        <is>
          <t>research</t>
        </is>
      </c>
      <c r="AM4" t="inlineStr">
        <is>
          <t>reasoning</t>
        </is>
      </c>
    </row>
    <row r="5">
      <c r="A5" t="inlineStr">
        <is>
          <t>Expected</t>
        </is>
      </c>
      <c r="B5" t="inlineStr">
        <is>
          <t>Resolve inquiry</t>
        </is>
      </c>
      <c r="C5" t="inlineStr">
        <is>
          <t>Classify</t>
        </is>
      </c>
      <c r="D5" t="inlineStr">
        <is>
          <t>Fixture A</t>
        </is>
      </c>
      <c r="E5" s="2" t="n">
        <v>1</v>
      </c>
      <c r="F5" s="2">
        <f>IF(Z5="daily_users",AA5*AB5*AC5,AD5)*AE5</f>
        <v/>
      </c>
      <c r="G5" s="2">
        <f>AJ5*AK5</f>
        <v/>
      </c>
      <c r="H5" s="2" t="n">
        <v>0</v>
      </c>
      <c r="I5" s="2" t="n">
        <v>1000</v>
      </c>
      <c r="J5" s="2" t="n">
        <v>100</v>
      </c>
      <c r="K5" s="2" t="n">
        <v>0</v>
      </c>
      <c r="L5" s="2" t="n">
        <v>0</v>
      </c>
      <c r="M5" s="2" t="n">
        <v>2</v>
      </c>
      <c r="N5" s="2" t="n">
        <v>8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3.333333333333333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  <c r="AJ5" s="2" t="n">
        <v>1</v>
      </c>
      <c r="AK5" s="2" t="n">
        <v>1</v>
      </c>
      <c r="AL5" t="inlineStr">
        <is>
          <t>classify</t>
        </is>
      </c>
      <c r="AM5" t="inlineStr">
        <is>
          <t>reasoning</t>
        </is>
      </c>
    </row>
    <row r="6">
      <c r="A6" t="inlineStr">
        <is>
          <t>Expected</t>
        </is>
      </c>
      <c r="B6" t="inlineStr">
        <is>
          <t>Resolve inquiry</t>
        </is>
      </c>
      <c r="C6" t="inlineStr">
        <is>
          <t>Verify</t>
        </is>
      </c>
      <c r="D6" t="inlineStr">
        <is>
          <t>Fixture A</t>
        </is>
      </c>
      <c r="E6" s="2" t="n">
        <v>1</v>
      </c>
      <c r="F6" s="2">
        <f>IF(Z6="daily_users",AA6*AB6*AC6,AD6)*AE6</f>
        <v/>
      </c>
      <c r="G6" s="2">
        <f>AJ6*AK6</f>
        <v/>
      </c>
      <c r="H6" s="2" t="n">
        <v>0</v>
      </c>
      <c r="I6" s="2" t="n">
        <v>200</v>
      </c>
      <c r="J6" s="2" t="n">
        <v>50</v>
      </c>
      <c r="K6" s="2" t="n">
        <v>0</v>
      </c>
      <c r="L6" s="2" t="n">
        <v>0</v>
      </c>
      <c r="M6" s="2" t="n">
        <v>2</v>
      </c>
      <c r="N6" s="2" t="n">
        <v>8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1</v>
      </c>
      <c r="AB6" s="2" t="n">
        <v>3.333333333333333</v>
      </c>
      <c r="AC6" s="2" t="n">
        <v>30</v>
      </c>
      <c r="AD6" s="2" t="n">
        <v>0</v>
      </c>
      <c r="AE6" s="2" t="n">
        <v>1</v>
      </c>
      <c r="AF6" t="inlineStr">
        <is>
          <t>simple</t>
        </is>
      </c>
      <c r="AG6" s="2">
        <f>R6*(1-K6-L6)</f>
        <v/>
      </c>
      <c r="AH6" s="2">
        <f>R6*K6</f>
        <v/>
      </c>
      <c r="AI6" s="2">
        <f>R6*L6</f>
        <v/>
      </c>
      <c r="AJ6" s="2" t="n">
        <v>1</v>
      </c>
      <c r="AK6" s="2" t="n">
        <v>0.125</v>
      </c>
      <c r="AL6" t="inlineStr">
        <is>
          <t>verify</t>
        </is>
      </c>
      <c r="AM6" t="inlineStr">
        <is>
          <t>reasoning</t>
        </is>
      </c>
    </row>
    <row r="7">
      <c r="A7" t="inlineStr">
        <is>
          <t>Expected</t>
        </is>
      </c>
      <c r="B7" t="inlineStr">
        <is>
          <t>Research documents</t>
        </is>
      </c>
      <c r="C7" t="inlineStr">
        <is>
          <t>Research</t>
        </is>
      </c>
      <c r="D7" t="inlineStr">
        <is>
          <t>Fixture B</t>
        </is>
      </c>
      <c r="E7" s="2" t="n">
        <v>1</v>
      </c>
      <c r="F7" s="2" t="n">
        <v>50</v>
      </c>
      <c r="G7" s="2">
        <f>AJ7*AK7</f>
        <v/>
      </c>
      <c r="H7" s="2" t="n">
        <v>0</v>
      </c>
      <c r="I7" s="2" t="n">
        <v>500</v>
      </c>
      <c r="J7" s="2" t="n">
        <v>100</v>
      </c>
      <c r="K7" s="2" t="n">
        <v>0</v>
      </c>
      <c r="L7" s="2" t="n">
        <v>0</v>
      </c>
      <c r="M7" s="2" t="n">
        <v>1</v>
      </c>
      <c r="N7" s="2" t="n">
        <v>4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derived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simple</t>
        </is>
      </c>
      <c r="AG7" s="2">
        <f>R7*(1-K7-L7)</f>
        <v/>
      </c>
      <c r="AH7" s="2">
        <f>R7*K7</f>
        <v/>
      </c>
      <c r="AI7" s="2">
        <f>R7*L7</f>
        <v/>
      </c>
      <c r="AJ7" s="2" t="n">
        <v>2</v>
      </c>
      <c r="AK7" s="2" t="n">
        <v>1</v>
      </c>
      <c r="AL7" t="inlineStr">
        <is>
          <t>research</t>
        </is>
      </c>
      <c r="AM7" t="inlineStr">
        <is>
          <t>reasoning</t>
        </is>
      </c>
    </row>
    <row r="8">
      <c r="A8" t="inlineStr">
        <is>
          <t>High</t>
        </is>
      </c>
      <c r="B8" t="inlineStr">
        <is>
          <t>Resolve inquiry</t>
        </is>
      </c>
      <c r="C8" t="inlineStr">
        <is>
          <t>Classify</t>
        </is>
      </c>
      <c r="D8" t="inlineStr">
        <is>
          <t>Fixture A</t>
        </is>
      </c>
      <c r="E8" s="2" t="n">
        <v>1</v>
      </c>
      <c r="F8" s="2">
        <f>IF(Z8="daily_users",AA8*AB8*AC8,AD8)*AE8</f>
        <v/>
      </c>
      <c r="G8" s="2">
        <f>AJ8*AK8</f>
        <v/>
      </c>
      <c r="H8" s="2" t="n">
        <v>0</v>
      </c>
      <c r="I8" s="2" t="n">
        <v>1500</v>
      </c>
      <c r="J8" s="2" t="n">
        <v>150</v>
      </c>
      <c r="K8" s="2" t="n">
        <v>0</v>
      </c>
      <c r="L8" s="2" t="n">
        <v>0</v>
      </c>
      <c r="M8" s="2" t="n">
        <v>2</v>
      </c>
      <c r="N8" s="2" t="n">
        <v>8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3.333333333333333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  <c r="AJ8" s="2" t="n">
        <v>1</v>
      </c>
      <c r="AK8" s="2" t="n">
        <v>1</v>
      </c>
      <c r="AL8" t="inlineStr">
        <is>
          <t>classify</t>
        </is>
      </c>
      <c r="AM8" t="inlineStr">
        <is>
          <t>reasoning</t>
        </is>
      </c>
    </row>
    <row r="9">
      <c r="A9" t="inlineStr">
        <is>
          <t>High</t>
        </is>
      </c>
      <c r="B9" t="inlineStr">
        <is>
          <t>Resolve inquiry</t>
        </is>
      </c>
      <c r="C9" t="inlineStr">
        <is>
          <t>Verify</t>
        </is>
      </c>
      <c r="D9" t="inlineStr">
        <is>
          <t>Fixture A</t>
        </is>
      </c>
      <c r="E9" s="2" t="n">
        <v>1</v>
      </c>
      <c r="F9" s="2">
        <f>IF(Z9="daily_users",AA9*AB9*AC9,AD9)*AE9</f>
        <v/>
      </c>
      <c r="G9" s="2">
        <f>AJ9*AK9</f>
        <v/>
      </c>
      <c r="H9" s="2" t="n">
        <v>0</v>
      </c>
      <c r="I9" s="2" t="n">
        <v>300</v>
      </c>
      <c r="J9" s="2" t="n">
        <v>75</v>
      </c>
      <c r="K9" s="2" t="n">
        <v>0</v>
      </c>
      <c r="L9" s="2" t="n">
        <v>0</v>
      </c>
      <c r="M9" s="2" t="n">
        <v>2</v>
      </c>
      <c r="N9" s="2" t="n">
        <v>8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1</v>
      </c>
      <c r="AB9" s="2" t="n">
        <v>3.333333333333333</v>
      </c>
      <c r="AC9" s="2" t="n">
        <v>30</v>
      </c>
      <c r="AD9" s="2" t="n">
        <v>0</v>
      </c>
      <c r="AE9" s="2" t="n">
        <v>1</v>
      </c>
      <c r="AF9" t="inlineStr">
        <is>
          <t>simple</t>
        </is>
      </c>
      <c r="AG9" s="2">
        <f>R9*(1-K9-L9)</f>
        <v/>
      </c>
      <c r="AH9" s="2">
        <f>R9*K9</f>
        <v/>
      </c>
      <c r="AI9" s="2">
        <f>R9*L9</f>
        <v/>
      </c>
      <c r="AJ9" s="2" t="n">
        <v>1</v>
      </c>
      <c r="AK9" s="2" t="n">
        <v>0.125</v>
      </c>
      <c r="AL9" t="inlineStr">
        <is>
          <t>verify</t>
        </is>
      </c>
      <c r="AM9" t="inlineStr">
        <is>
          <t>reasoning</t>
        </is>
      </c>
    </row>
    <row r="10">
      <c r="A10" t="inlineStr">
        <is>
          <t>High</t>
        </is>
      </c>
      <c r="B10" t="inlineStr">
        <is>
          <t>Research documents</t>
        </is>
      </c>
      <c r="C10" t="inlineStr">
        <is>
          <t>Research</t>
        </is>
      </c>
      <c r="D10" t="inlineStr">
        <is>
          <t>Fixture B</t>
        </is>
      </c>
      <c r="E10" s="2" t="n">
        <v>1</v>
      </c>
      <c r="F10" s="2" t="n">
        <v>50</v>
      </c>
      <c r="G10" s="2">
        <f>AJ10*AK10</f>
        <v/>
      </c>
      <c r="H10" s="2" t="n">
        <v>0</v>
      </c>
      <c r="I10" s="2" t="n">
        <v>750</v>
      </c>
      <c r="J10" s="2" t="n">
        <v>150</v>
      </c>
      <c r="K10" s="2" t="n">
        <v>0</v>
      </c>
      <c r="L10" s="2" t="n">
        <v>0</v>
      </c>
      <c r="M10" s="2" t="n">
        <v>1</v>
      </c>
      <c r="N10" s="2" t="n">
        <v>4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derived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simple</t>
        </is>
      </c>
      <c r="AG10" s="2">
        <f>R10*(1-K10-L10)</f>
        <v/>
      </c>
      <c r="AH10" s="2">
        <f>R10*K10</f>
        <v/>
      </c>
      <c r="AI10" s="2">
        <f>R10*L10</f>
        <v/>
      </c>
      <c r="AJ10" s="2" t="n">
        <v>2</v>
      </c>
      <c r="AK10" s="2" t="n">
        <v>1</v>
      </c>
      <c r="AL10" t="inlineStr">
        <is>
          <t>research</t>
        </is>
      </c>
      <c r="AM10" t="inlineStr">
        <is>
          <t>reasoning</t>
        </is>
      </c>
    </row>
  </sheetData>
  <autoFilter ref="A1:AM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  <col width="16" customWidth="1" min="15" max="15"/>
    <col width="32" customWidth="1" min="16" max="16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  <c r="O1" s="1" t="inlineStr">
        <is>
          <t>agent_id</t>
        </is>
      </c>
      <c r="P1" s="1" t="inlineStr">
        <is>
          <t>business_use_case_description</t>
        </is>
      </c>
    </row>
    <row r="2">
      <c r="A2" t="inlineStr">
        <is>
          <t>Resolve inquiry</t>
        </is>
      </c>
      <c r="B2" t="inlineStr">
        <is>
          <t>simple</t>
        </is>
      </c>
      <c r="C2" s="2" t="n">
        <v>1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3.333333333333333</v>
      </c>
      <c r="O2" t="inlineStr">
        <is>
          <t>router</t>
        </is>
      </c>
      <c r="P2" t="inlineStr">
        <is>
          <t>Business use case pending description</t>
        </is>
      </c>
    </row>
    <row r="3">
      <c r="A3" t="inlineStr">
        <is>
          <t>Research documents</t>
        </is>
      </c>
      <c r="B3" t="inlineStr">
        <is>
          <t>simple</t>
        </is>
      </c>
      <c r="C3" s="2" t="n">
        <v>1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derived</t>
        </is>
      </c>
      <c r="M3" s="2" t="n">
        <v>0</v>
      </c>
      <c r="N3" s="2" t="n">
        <v>0</v>
      </c>
      <c r="O3" t="inlineStr">
        <is>
          <t>specialist</t>
        </is>
      </c>
      <c r="P3" t="inlineStr">
        <is>
          <t>Business use case pending description</t>
        </is>
      </c>
    </row>
  </sheetData>
  <autoFilter ref="A1:P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32" customWidth="1" min="5" max="5"/>
  </cols>
  <sheetData>
    <row r="1" ht="32" customHeight="1">
      <c r="A1" s="1" t="inlineStr">
        <is>
          <t>Group ID</t>
        </is>
      </c>
      <c r="B1" s="1" t="inlineStr">
        <is>
          <t>Group name</t>
        </is>
      </c>
      <c r="C1" s="1" t="inlineStr">
        <is>
          <t>Agent ID</t>
        </is>
      </c>
      <c r="D1" s="1" t="inlineStr">
        <is>
          <t>Agent name</t>
        </is>
      </c>
      <c r="E1" s="1" t="inlineStr">
        <is>
          <t>Business use case description</t>
        </is>
      </c>
    </row>
    <row r="2">
      <c r="A2" t="inlineStr">
        <is>
          <t>router</t>
        </is>
      </c>
      <c r="B2" t="inlineStr">
        <is>
          <t>Resolve inquiry</t>
        </is>
      </c>
      <c r="C2" t="inlineStr">
        <is>
          <t>router</t>
        </is>
      </c>
      <c r="D2" t="inlineStr">
        <is>
          <t>Resolve inquiry</t>
        </is>
      </c>
      <c r="E2" t="inlineStr">
        <is>
          <t>Business use case pending description</t>
        </is>
      </c>
    </row>
    <row r="3">
      <c r="A3" t="inlineStr">
        <is>
          <t>specialist</t>
        </is>
      </c>
      <c r="B3" t="inlineStr">
        <is>
          <t>Research documents</t>
        </is>
      </c>
      <c r="C3" t="inlineStr">
        <is>
          <t>specialist</t>
        </is>
      </c>
      <c r="D3" t="inlineStr">
        <is>
          <t>Research documents</t>
        </is>
      </c>
      <c r="E3" t="inlineStr">
        <is>
          <t>Business use case pending description</t>
        </is>
      </c>
    </row>
  </sheetData>
  <autoFilter ref="A1:E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  <col width="16" customWidth="1" min="11" max="11"/>
    <col width="32" customWidth="1" min="12" max="12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  <c r="K1" s="1" t="inlineStr">
        <is>
          <t>Agent row ID</t>
        </is>
      </c>
      <c r="L1" s="1" t="inlineStr">
        <is>
          <t>Previous direct volume source</t>
        </is>
      </c>
    </row>
    <row r="2">
      <c r="A2" t="inlineStr">
        <is>
          <t>Resolve inquiry</t>
        </is>
      </c>
      <c r="B2" t="inlineStr">
        <is>
          <t>simple</t>
        </is>
      </c>
      <c r="C2" s="2" t="n">
        <v>1</v>
      </c>
      <c r="D2" t="inlineStr">
        <is>
          <t>daily_users</t>
        </is>
      </c>
      <c r="E2" s="2" t="n">
        <v>1</v>
      </c>
      <c r="F2" s="2" t="n">
        <v>3.333333333333333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  <c r="K2" t="inlineStr">
        <is>
          <t>router</t>
        </is>
      </c>
    </row>
    <row r="3">
      <c r="A3" t="inlineStr">
        <is>
          <t>Research documents</t>
        </is>
      </c>
      <c r="B3" t="inlineStr">
        <is>
          <t>simple</t>
        </is>
      </c>
      <c r="C3" s="2" t="n">
        <v>1</v>
      </c>
      <c r="D3" t="inlineStr">
        <is>
          <t>derived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 t="n">
        <v>50</v>
      </c>
      <c r="J3" s="2">
        <f>C3*I3</f>
        <v/>
      </c>
      <c r="K3" t="inlineStr">
        <is>
          <t>specialist</t>
        </is>
      </c>
      <c r="L3" t="inlineStr">
        <is>
          <t>daily_users</t>
        </is>
      </c>
    </row>
  </sheetData>
  <autoFilter ref="A1:L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0" customWidth="1" min="3" max="3"/>
    <col width="16" customWidth="1" min="4" max="4"/>
    <col width="22" customWidth="1" min="5" max="5"/>
    <col width="32" customWidth="1" min="6" max="6"/>
    <col width="41" customWidth="1" min="7" max="7"/>
    <col width="26" customWidth="1" min="8" max="8"/>
    <col width="16" customWidth="1" min="9" max="9"/>
    <col width="16" customWidth="1" min="10" max="10"/>
    <col width="16" customWidth="1" min="11" max="11"/>
    <col width="16" customWidth="1" min="12" max="12"/>
    <col width="29" customWidth="1" min="13" max="13"/>
  </cols>
  <sheetData>
    <row r="1" ht="32" customHeight="1">
      <c r="A1" s="1" t="inlineStr">
        <is>
          <t>Scenario</t>
        </is>
      </c>
      <c r="B1" s="1" t="inlineStr">
        <is>
          <t>Parent agent/group</t>
        </is>
      </c>
      <c r="C1" s="1" t="inlineStr">
        <is>
          <t>Child agent/group</t>
        </is>
      </c>
      <c r="D1" s="1" t="inlineStr">
        <is>
          <t>Branch group</t>
        </is>
      </c>
      <c r="E1" s="1" t="inlineStr">
        <is>
          <t>Trigger probability</t>
        </is>
      </c>
      <c r="F1" s="1" t="inlineStr">
        <is>
          <t>Child invocations per trigger</t>
        </is>
      </c>
      <c r="G1" s="1" t="inlineStr">
        <is>
          <t>Parent invocations/month (precomputed)</t>
        </is>
      </c>
      <c r="H1" s="1" t="inlineStr">
        <is>
          <t>Child invocations/month</t>
        </is>
      </c>
      <c r="I1" s="1" t="inlineStr">
        <is>
          <t>Status</t>
        </is>
      </c>
      <c r="J1" s="1" t="inlineStr">
        <is>
          <t>Link ID</t>
        </is>
      </c>
      <c r="K1" s="1" t="inlineStr">
        <is>
          <t>Parent row ID</t>
        </is>
      </c>
      <c r="L1" s="1" t="inlineStr">
        <is>
          <t>Child row ID</t>
        </is>
      </c>
      <c r="M1" s="1" t="inlineStr">
        <is>
          <t>Step execution probability</t>
        </is>
      </c>
    </row>
    <row r="2">
      <c r="A2" t="inlineStr">
        <is>
          <t>Low</t>
        </is>
      </c>
      <c r="B2" t="inlineStr">
        <is>
          <t>Resolve inquiry</t>
        </is>
      </c>
      <c r="C2" t="inlineStr">
        <is>
          <t>Research documents</t>
        </is>
      </c>
      <c r="D2" t="inlineStr"/>
      <c r="E2" s="2" t="n">
        <v>1</v>
      </c>
      <c r="F2" s="2" t="n">
        <v>2</v>
      </c>
      <c r="G2" s="2" t="n">
        <v>100</v>
      </c>
      <c r="H2" s="2">
        <f>E2*F2*G2*M2</f>
        <v/>
      </c>
      <c r="I2" t="inlineStr">
        <is>
          <t>Complete</t>
        </is>
      </c>
      <c r="J2" t="inlineStr">
        <is>
          <t>delegation</t>
        </is>
      </c>
      <c r="K2" t="inlineStr">
        <is>
          <t>router</t>
        </is>
      </c>
      <c r="L2" t="inlineStr">
        <is>
          <t>specialist</t>
        </is>
      </c>
      <c r="M2" s="2" t="n">
        <v>0.25</v>
      </c>
    </row>
    <row r="3">
      <c r="A3" t="inlineStr">
        <is>
          <t>Expected</t>
        </is>
      </c>
      <c r="B3" t="inlineStr">
        <is>
          <t>Resolve inquiry</t>
        </is>
      </c>
      <c r="C3" t="inlineStr">
        <is>
          <t>Research documents</t>
        </is>
      </c>
      <c r="D3" t="inlineStr"/>
      <c r="E3" s="2" t="n">
        <v>1</v>
      </c>
      <c r="F3" s="2" t="n">
        <v>2</v>
      </c>
      <c r="G3" s="2" t="n">
        <v>100</v>
      </c>
      <c r="H3" s="2">
        <f>E3*F3*G3*M3</f>
        <v/>
      </c>
      <c r="I3" t="inlineStr">
        <is>
          <t>Complete</t>
        </is>
      </c>
      <c r="J3" t="inlineStr">
        <is>
          <t>delegation</t>
        </is>
      </c>
      <c r="K3" t="inlineStr">
        <is>
          <t>router</t>
        </is>
      </c>
      <c r="L3" t="inlineStr">
        <is>
          <t>specialist</t>
        </is>
      </c>
      <c r="M3" s="2" t="n">
        <v>0.25</v>
      </c>
    </row>
    <row r="4">
      <c r="A4" t="inlineStr">
        <is>
          <t>High</t>
        </is>
      </c>
      <c r="B4" t="inlineStr">
        <is>
          <t>Resolve inquiry</t>
        </is>
      </c>
      <c r="C4" t="inlineStr">
        <is>
          <t>Research documents</t>
        </is>
      </c>
      <c r="D4" t="inlineStr"/>
      <c r="E4" s="2" t="n">
        <v>1</v>
      </c>
      <c r="F4" s="2" t="n">
        <v>2</v>
      </c>
      <c r="G4" s="2" t="n">
        <v>100</v>
      </c>
      <c r="H4" s="2">
        <f>E4*F4*G4*M4</f>
        <v/>
      </c>
      <c r="I4" t="inlineStr">
        <is>
          <t>Complete</t>
        </is>
      </c>
      <c r="J4" t="inlineStr">
        <is>
          <t>delegation</t>
        </is>
      </c>
      <c r="K4" t="inlineStr">
        <is>
          <t>router</t>
        </is>
      </c>
      <c r="L4" t="inlineStr">
        <is>
          <t>specialist</t>
        </is>
      </c>
      <c r="M4" s="2" t="n">
        <v>0.25</v>
      </c>
    </row>
  </sheetData>
  <autoFilter ref="A1:M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  <col width="19" customWidth="1" min="5" max="5"/>
    <col width="19" customWidth="1" min="6" max="6"/>
    <col width="19" customWidth="1" min="7" max="7"/>
    <col width="16" customWidth="1" min="8" max="8"/>
    <col width="16" customWidth="1" min="9" max="9"/>
    <col width="16" customWidth="1" min="10" max="10"/>
  </cols>
  <sheetData>
    <row r="1" ht="32" customHeight="1">
      <c r="A1" s="1" t="inlineStr">
        <is>
          <t>Scenario</t>
        </is>
      </c>
      <c r="B1" s="1" t="inlineStr">
        <is>
          <t>Agent</t>
        </is>
      </c>
      <c r="C1" s="1" t="inlineStr">
        <is>
          <t>Tool</t>
        </is>
      </c>
      <c r="D1" s="1" t="inlineStr">
        <is>
          <t>Monthly invocations</t>
        </is>
      </c>
      <c r="E1" s="1" t="inlineStr">
        <is>
          <t>Step probability</t>
        </is>
      </c>
      <c r="F1" s="1" t="inlineStr">
        <is>
          <t>Tool probability</t>
        </is>
      </c>
      <c r="G1" s="1" t="inlineStr">
        <is>
          <t>Units/invocation</t>
        </is>
      </c>
      <c r="H1" s="1" t="inlineStr">
        <is>
          <t>USD/unit</t>
        </is>
      </c>
      <c r="I1" s="1" t="inlineStr">
        <is>
          <t>Monthly USD</t>
        </is>
      </c>
      <c r="J1" s="1" t="inlineStr">
        <is>
          <t>Step ID</t>
        </is>
      </c>
    </row>
    <row r="2">
      <c r="A2" t="inlineStr">
        <is>
          <t>Low</t>
        </is>
      </c>
      <c r="B2" t="inlineStr">
        <is>
          <t>Resolve inquiry</t>
        </is>
      </c>
      <c r="C2" t="inlineStr">
        <is>
          <t>Search API</t>
        </is>
      </c>
      <c r="D2" s="2" t="n">
        <v>100</v>
      </c>
      <c r="E2" s="2" t="n">
        <v>0.25</v>
      </c>
      <c r="F2" s="2" t="n">
        <v>0.5</v>
      </c>
      <c r="G2" s="2" t="n">
        <v>1</v>
      </c>
      <c r="H2" s="2" t="n">
        <v>0.1</v>
      </c>
      <c r="I2" s="2">
        <f>D2*E2*F2*G2*H2</f>
        <v/>
      </c>
      <c r="J2" t="inlineStr">
        <is>
          <t>verify</t>
        </is>
      </c>
    </row>
    <row r="3">
      <c r="A3" t="inlineStr">
        <is>
          <t>Expected</t>
        </is>
      </c>
      <c r="B3" t="inlineStr">
        <is>
          <t>Resolve inquiry</t>
        </is>
      </c>
      <c r="C3" t="inlineStr">
        <is>
          <t>Search API</t>
        </is>
      </c>
      <c r="D3" s="2" t="n">
        <v>100</v>
      </c>
      <c r="E3" s="2" t="n">
        <v>0.25</v>
      </c>
      <c r="F3" s="2" t="n">
        <v>0.5</v>
      </c>
      <c r="G3" s="2" t="n">
        <v>1</v>
      </c>
      <c r="H3" s="2" t="n">
        <v>0.1</v>
      </c>
      <c r="I3" s="2">
        <f>D3*E3*F3*G3*H3</f>
        <v/>
      </c>
      <c r="J3" t="inlineStr">
        <is>
          <t>verify</t>
        </is>
      </c>
    </row>
    <row r="4">
      <c r="A4" t="inlineStr">
        <is>
          <t>High</t>
        </is>
      </c>
      <c r="B4" t="inlineStr">
        <is>
          <t>Resolve inquiry</t>
        </is>
      </c>
      <c r="C4" t="inlineStr">
        <is>
          <t>Search API</t>
        </is>
      </c>
      <c r="D4" s="2" t="n">
        <v>100</v>
      </c>
      <c r="E4" s="2" t="n">
        <v>0.25</v>
      </c>
      <c r="F4" s="2" t="n">
        <v>0.5</v>
      </c>
      <c r="G4" s="2" t="n">
        <v>1</v>
      </c>
      <c r="H4" s="2" t="n">
        <v>0.1</v>
      </c>
      <c r="I4" s="2">
        <f>D4*E4*F4*G4*H4</f>
        <v/>
      </c>
      <c r="J4" t="inlineStr">
        <is>
          <t>verify</t>
        </is>
      </c>
    </row>
  </sheetData>
  <autoFilter ref="A1:J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" customWidth="1" min="4" max="4"/>
    <col width="20" customWidth="1" min="5" max="5"/>
    <col width="17" customWidth="1" min="6" max="6"/>
    <col width="24" customWidth="1" min="7" max="7"/>
    <col width="16" customWidth="1" min="8" max="8"/>
    <col width="16" customWidth="1" min="9" max="9"/>
    <col width="16" customWidth="1" min="10" max="10"/>
    <col width="27" customWidth="1" min="11" max="11"/>
  </cols>
  <sheetData>
    <row r="1" ht="32" customHeight="1">
      <c r="A1" s="1" t="inlineStr">
        <is>
          <t>Scenario</t>
        </is>
      </c>
      <c r="B1" s="1" t="inlineStr">
        <is>
          <t>Harness type</t>
        </is>
      </c>
      <c r="C1" s="1" t="inlineStr">
        <is>
          <t>Name</t>
        </is>
      </c>
      <c r="D1" s="1" t="inlineStr">
        <is>
          <t>Fixed USD/month</t>
        </is>
      </c>
      <c r="E1" s="1" t="inlineStr">
        <is>
          <t>Invocations/month</t>
        </is>
      </c>
      <c r="F1" s="1" t="inlineStr">
        <is>
          <t>USD/invocation</t>
        </is>
      </c>
      <c r="G1" s="1" t="inlineStr">
        <is>
          <t>Step executions/month</t>
        </is>
      </c>
      <c r="H1" s="1" t="inlineStr">
        <is>
          <t>USD/step</t>
        </is>
      </c>
      <c r="I1" s="1" t="inlineStr">
        <is>
          <t>Monthly USD</t>
        </is>
      </c>
      <c r="J1" s="1" t="inlineStr">
        <is>
          <t>Allocation</t>
        </is>
      </c>
      <c r="K1" s="1" t="inlineStr">
        <is>
          <t>Include in use-case cost</t>
        </is>
      </c>
    </row>
    <row r="2">
      <c r="A2" t="inlineStr">
        <is>
          <t>Low</t>
        </is>
      </c>
      <c r="B2" t="inlineStr">
        <is>
          <t>managed_platform</t>
        </is>
      </c>
      <c r="C2" t="inlineStr">
        <is>
          <t>Shared runtime</t>
        </is>
      </c>
      <c r="D2" s="2" t="n">
        <v>10</v>
      </c>
      <c r="E2" s="2" t="n">
        <v>150</v>
      </c>
      <c r="F2" s="2" t="n">
        <v>0.01</v>
      </c>
      <c r="G2" s="2" t="n">
        <v>175</v>
      </c>
      <c r="H2" s="2" t="n">
        <v>0.001</v>
      </c>
      <c r="I2" s="2">
        <f>IF(B2="none",0,D2+E2*F2+G2*H2)</f>
        <v/>
      </c>
      <c r="J2" t="inlineStr">
        <is>
          <t>by_invocations</t>
        </is>
      </c>
      <c r="K2" s="2" t="b">
        <v>1</v>
      </c>
    </row>
    <row r="3">
      <c r="A3" t="inlineStr">
        <is>
          <t>Expected</t>
        </is>
      </c>
      <c r="B3" t="inlineStr">
        <is>
          <t>managed_platform</t>
        </is>
      </c>
      <c r="C3" t="inlineStr">
        <is>
          <t>Shared runtime</t>
        </is>
      </c>
      <c r="D3" s="2" t="n">
        <v>10</v>
      </c>
      <c r="E3" s="2" t="n">
        <v>150</v>
      </c>
      <c r="F3" s="2" t="n">
        <v>0.01</v>
      </c>
      <c r="G3" s="2" t="n">
        <v>175</v>
      </c>
      <c r="H3" s="2" t="n">
        <v>0.001</v>
      </c>
      <c r="I3" s="2">
        <f>IF(B3="none",0,D3+E3*F3+G3*H3)</f>
        <v/>
      </c>
      <c r="J3" t="inlineStr">
        <is>
          <t>by_invocations</t>
        </is>
      </c>
      <c r="K3" s="2" t="b">
        <v>1</v>
      </c>
    </row>
    <row r="4">
      <c r="A4" t="inlineStr">
        <is>
          <t>High</t>
        </is>
      </c>
      <c r="B4" t="inlineStr">
        <is>
          <t>managed_platform</t>
        </is>
      </c>
      <c r="C4" t="inlineStr">
        <is>
          <t>Shared runtime</t>
        </is>
      </c>
      <c r="D4" s="2" t="n">
        <v>10</v>
      </c>
      <c r="E4" s="2" t="n">
        <v>150</v>
      </c>
      <c r="F4" s="2" t="n">
        <v>0.01</v>
      </c>
      <c r="G4" s="2" t="n">
        <v>175</v>
      </c>
      <c r="H4" s="2" t="n">
        <v>0.001</v>
      </c>
      <c r="I4" s="2">
        <f>IF(B4="none",0,D4+E4*F4+G4*H4)</f>
        <v/>
      </c>
      <c r="J4" t="inlineStr">
        <is>
          <t>by_invocations</t>
        </is>
      </c>
      <c r="K4" s="2" t="b">
        <v>1</v>
      </c>
    </row>
  </sheetData>
  <autoFilter ref="A1:K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  <col width="24" customWidth="1" min="5" max="5"/>
    <col width="25" customWidth="1" min="6" max="6"/>
    <col width="24" customWidth="1" min="7" max="7"/>
    <col width="16" customWidth="1" min="8" max="8"/>
    <col width="19" customWidth="1" min="9" max="9"/>
  </cols>
  <sheetData>
    <row r="1" ht="32" customHeight="1">
      <c r="A1" s="1" t="inlineStr">
        <is>
          <t>Scenario</t>
        </is>
      </c>
      <c r="B1" s="1" t="inlineStr">
        <is>
          <t>Agent</t>
        </is>
      </c>
      <c r="C1" s="1" t="inlineStr">
        <is>
          <t>Use case</t>
        </is>
      </c>
      <c r="D1" s="1" t="inlineStr">
        <is>
          <t>Monthly completions</t>
        </is>
      </c>
      <c r="E1" s="1" t="inlineStr">
        <is>
          <t>Direct USD/completion</t>
        </is>
      </c>
      <c r="F1" s="1" t="inlineStr">
        <is>
          <t>Harness USD/completion</t>
        </is>
      </c>
      <c r="G1" s="1" t="inlineStr">
        <is>
          <t>Loaded USD/completion</t>
        </is>
      </c>
      <c r="H1" s="1" t="inlineStr">
        <is>
          <t>Status</t>
        </is>
      </c>
      <c r="I1" s="1" t="inlineStr">
        <is>
          <t>Calculation path</t>
        </is>
      </c>
    </row>
    <row r="2">
      <c r="A2" t="inlineStr">
        <is>
          <t>Low</t>
        </is>
      </c>
      <c r="B2" t="inlineStr">
        <is>
          <t>Resolve inquiry</t>
        </is>
      </c>
      <c r="C2" t="inlineStr">
        <is>
          <t>Resolve inquiry</t>
        </is>
      </c>
      <c r="D2" s="2" t="n">
        <v>100</v>
      </c>
      <c r="E2" s="2" t="n">
        <v>0.014675</v>
      </c>
      <c r="F2" s="2" t="n">
        <v>0.07783333333333334</v>
      </c>
      <c r="G2" s="2" t="n">
        <v>0.1321</v>
      </c>
      <c r="H2" t="inlineStr">
        <is>
          <t>Complete</t>
        </is>
      </c>
      <c r="I2" t="inlineStr">
        <is>
          <t>Precomputed DAG rollup; inputs and direct calculations in other sheets</t>
        </is>
      </c>
    </row>
    <row r="3">
      <c r="A3" t="inlineStr">
        <is>
          <t>Low</t>
        </is>
      </c>
      <c r="B3" t="inlineStr">
        <is>
          <t>Research documents</t>
        </is>
      </c>
      <c r="C3" t="inlineStr">
        <is>
          <t>Research documents</t>
        </is>
      </c>
      <c r="D3" s="2" t="n">
        <v>50</v>
      </c>
      <c r="E3" s="2" t="n">
        <v>0.00135</v>
      </c>
      <c r="F3" s="2" t="n">
        <v>0.07783333333333334</v>
      </c>
      <c r="G3" s="2" t="n">
        <v>0.07918333333333333</v>
      </c>
      <c r="H3" t="inlineStr">
        <is>
          <t>Complete</t>
        </is>
      </c>
      <c r="I3" t="inlineStr">
        <is>
          <t>Precomputed DAG rollup; inputs and direct calculations in other sheets</t>
        </is>
      </c>
    </row>
    <row r="4">
      <c r="A4" t="inlineStr">
        <is>
          <t>Expected</t>
        </is>
      </c>
      <c r="B4" t="inlineStr">
        <is>
          <t>Resolve inquiry</t>
        </is>
      </c>
      <c r="C4" t="inlineStr">
        <is>
          <t>Resolve inquiry</t>
        </is>
      </c>
      <c r="D4" s="2" t="n">
        <v>100</v>
      </c>
      <c r="E4" s="2" t="n">
        <v>0.0154</v>
      </c>
      <c r="F4" s="2" t="n">
        <v>0.07783333333333334</v>
      </c>
      <c r="G4" s="2" t="n">
        <v>0.13305</v>
      </c>
      <c r="H4" t="inlineStr">
        <is>
          <t>Complete</t>
        </is>
      </c>
      <c r="I4" t="inlineStr">
        <is>
          <t>Precomputed DAG rollup; inputs and direct calculations in other sheets</t>
        </is>
      </c>
    </row>
    <row r="5">
      <c r="A5" t="inlineStr">
        <is>
          <t>Expected</t>
        </is>
      </c>
      <c r="B5" t="inlineStr">
        <is>
          <t>Research documents</t>
        </is>
      </c>
      <c r="C5" t="inlineStr">
        <is>
          <t>Research documents</t>
        </is>
      </c>
      <c r="D5" s="2" t="n">
        <v>50</v>
      </c>
      <c r="E5" s="2" t="n">
        <v>0.0018</v>
      </c>
      <c r="F5" s="2" t="n">
        <v>0.07783333333333334</v>
      </c>
      <c r="G5" s="2" t="n">
        <v>0.07963333333333333</v>
      </c>
      <c r="H5" t="inlineStr">
        <is>
          <t>Complete</t>
        </is>
      </c>
      <c r="I5" t="inlineStr">
        <is>
          <t>Precomputed DAG rollup; inputs and direct calculations in other sheets</t>
        </is>
      </c>
    </row>
    <row r="6">
      <c r="A6" t="inlineStr">
        <is>
          <t>High</t>
        </is>
      </c>
      <c r="B6" t="inlineStr">
        <is>
          <t>Resolve inquiry</t>
        </is>
      </c>
      <c r="C6" t="inlineStr">
        <is>
          <t>Resolve inquiry</t>
        </is>
      </c>
      <c r="D6" s="2" t="n">
        <v>100</v>
      </c>
      <c r="E6" s="2" t="n">
        <v>0.01685</v>
      </c>
      <c r="F6" s="2" t="n">
        <v>0.07783333333333334</v>
      </c>
      <c r="G6" s="2" t="n">
        <v>0.13495</v>
      </c>
      <c r="H6" t="inlineStr">
        <is>
          <t>Complete</t>
        </is>
      </c>
      <c r="I6" t="inlineStr">
        <is>
          <t>Precomputed DAG rollup; inputs and direct calculations in other sheets</t>
        </is>
      </c>
    </row>
    <row r="7">
      <c r="A7" t="inlineStr">
        <is>
          <t>High</t>
        </is>
      </c>
      <c r="B7" t="inlineStr">
        <is>
          <t>Research documents</t>
        </is>
      </c>
      <c r="C7" t="inlineStr">
        <is>
          <t>Research documents</t>
        </is>
      </c>
      <c r="D7" s="2" t="n">
        <v>50</v>
      </c>
      <c r="E7" s="2" t="n">
        <v>0.0027</v>
      </c>
      <c r="F7" s="2" t="n">
        <v>0.07783333333333334</v>
      </c>
      <c r="G7" s="2" t="n">
        <v>0.08053333333333333</v>
      </c>
      <c r="H7" t="inlineStr">
        <is>
          <t>Complete</t>
        </is>
      </c>
      <c r="I7" t="inlineStr">
        <is>
          <t>Precomputed DAG rollup; inputs and direct calculations in other sheets</t>
        </is>
      </c>
    </row>
  </sheetData>
  <autoFilter ref="A1:I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SUMIF(Volume!B2:B3,A2,Volume!J2:J3)</f>
        <v/>
      </c>
    </row>
    <row r="3">
      <c r="A3" t="inlineStr">
        <is>
          <t>medium</t>
        </is>
      </c>
      <c r="B3" s="2">
        <f>SUMIF(Volume!B2:B3,A3,Volume!J2:J3)</f>
        <v/>
      </c>
    </row>
    <row r="4">
      <c r="A4" t="inlineStr">
        <is>
          <t>high</t>
        </is>
      </c>
      <c r="B4" s="2">
        <f>SUMIF(Volume!B2:B3,A4,Volume!J2:J3)</f>
        <v/>
      </c>
    </row>
  </sheetData>
  <autoFilter ref="A1:B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</row>
  </sheetData>
  <autoFilter ref="A1:G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8" customWidth="1" min="3" max="3"/>
    <col width="29" customWidth="1" min="4" max="4"/>
    <col width="33" customWidth="1" min="5" max="5"/>
    <col width="34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20" customWidth="1" min="15" max="15"/>
    <col width="24" customWidth="1" min="16" max="16"/>
    <col width="16" customWidth="1" min="17" max="17"/>
    <col width="20" customWidth="1" min="18" max="18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original currency/M</t>
        </is>
      </c>
      <c r="D1" s="1" t="inlineStr">
        <is>
          <t>Output original currency/M</t>
        </is>
      </c>
      <c r="E1" s="1" t="inlineStr">
        <is>
          <t>Cache read original currency/M</t>
        </is>
      </c>
      <c r="F1" s="1" t="inlineStr">
        <is>
          <t>Cache write original currency/M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  <c r="L1" s="1" t="inlineStr">
        <is>
          <t>Source type</t>
        </is>
      </c>
      <c r="M1" s="1" t="inlineStr">
        <is>
          <t>Channel</t>
        </is>
      </c>
      <c r="N1" s="1" t="inlineStr">
        <is>
          <t>Region</t>
        </is>
      </c>
      <c r="O1" s="1" t="inlineStr">
        <is>
          <t>Original currency</t>
        </is>
      </c>
      <c r="P1" s="1" t="inlineStr">
        <is>
          <t>USD per currency unit</t>
        </is>
      </c>
      <c r="Q1" s="1" t="inlineStr">
        <is>
          <t>FX source</t>
        </is>
      </c>
      <c r="R1" s="1" t="inlineStr">
        <is>
          <t>FX retrieval date</t>
        </is>
      </c>
    </row>
    <row r="2">
      <c r="A2" t="inlineStr">
        <is>
          <t>Fixture A</t>
        </is>
      </c>
      <c r="B2" t="inlineStr">
        <is>
          <t>Fixture vendor A</t>
        </is>
      </c>
      <c r="C2" s="2" t="n">
        <v>2</v>
      </c>
      <c r="D2" s="2" t="n">
        <v>8</v>
      </c>
      <c r="G2" t="inlineStr">
        <is>
          <t>Versioned architect fixture</t>
        </is>
      </c>
      <c r="H2" t="inlineStr">
        <is>
          <t>2026-10-02</t>
        </is>
      </c>
      <c r="I2" s="2" t="b">
        <v>1</v>
      </c>
      <c r="J2" t="inlineStr"/>
      <c r="K2" t="inlineStr"/>
      <c r="L2" t="inlineStr">
        <is>
          <t>vendor_api</t>
        </is>
      </c>
      <c r="M2" t="inlineStr"/>
      <c r="N2" t="inlineStr"/>
      <c r="O2" t="inlineStr">
        <is>
          <t>USD</t>
        </is>
      </c>
      <c r="P2" s="2" t="n">
        <v>1</v>
      </c>
      <c r="Q2" t="inlineStr"/>
      <c r="R2" t="inlineStr"/>
    </row>
    <row r="3">
      <c r="A3" t="inlineStr">
        <is>
          <t>Fixture B</t>
        </is>
      </c>
      <c r="B3" t="inlineStr">
        <is>
          <t>Fixture vendor B</t>
        </is>
      </c>
      <c r="C3" s="2" t="n">
        <v>1</v>
      </c>
      <c r="D3" s="2" t="n">
        <v>4</v>
      </c>
      <c r="G3" t="inlineStr">
        <is>
          <t>Versioned architect fixture</t>
        </is>
      </c>
      <c r="H3" t="inlineStr">
        <is>
          <t>2026-10-02</t>
        </is>
      </c>
      <c r="I3" s="2" t="b">
        <v>1</v>
      </c>
      <c r="J3" t="inlineStr"/>
      <c r="K3" t="inlineStr"/>
      <c r="L3" t="inlineStr">
        <is>
          <t>vendor_api</t>
        </is>
      </c>
      <c r="M3" t="inlineStr"/>
      <c r="N3" t="inlineStr"/>
      <c r="O3" t="inlineStr">
        <is>
          <t>USD</t>
        </is>
      </c>
      <c r="P3" s="2" t="n">
        <v>1</v>
      </c>
      <c r="Q3" t="inlineStr"/>
      <c r="R3" t="inlineStr"/>
    </row>
  </sheetData>
  <autoFilter ref="A1:R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Agentic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For direct-volume rows, column F derives scenario monthly volume from columns Z–AE using a 30-day planning month. For derived rows, column F is the graph result precomputed by the app; edit links or upstream volume in the app and re-export.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direct baseline invocations and records app-precomputed derived invocations. Category totals sums the Volume sheet by complexity. These totals exclude scenario volume multipliers; Calculations contains scenario-effective volumes.</t>
        </is>
      </c>
    </row>
    <row r="7">
      <c r="A7" t="inlineStr">
        <is>
          <t>Agent links</t>
        </is>
      </c>
      <c r="B7" t="inlineStr">
        <is>
          <t>Agent links shows effective Low/Expected/High probability, fanout, and child contributions. Parent totals are precomputed in topological order by the app; changing edges or parent totals in this workbook does not update derived rows in Calculations or Volume. Re-export from the app for a revised graph. Derived rows in Agents cannot be reimported without rebuilding links in the app.</t>
        </is>
      </c>
    </row>
    <row r="8">
      <c r="A8" t="inlineStr">
        <is>
          <t>Category token usage</t>
        </is>
      </c>
      <c r="B8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9">
      <c r="A9" t="inlineStr">
        <is>
          <t>Category token costs</t>
        </is>
      </c>
      <c r="B9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10">
      <c r="A10" t="inlineStr">
        <is>
          <t>Monthly category summary</t>
        </is>
      </c>
      <c r="B10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1">
      <c r="A11" t="inlineStr">
        <is>
          <t>Tier rates</t>
        </is>
      </c>
      <c r="B11" t="inlineStr">
        <is>
          <t>Rates in Calculations are selected using the exported per-call input size. After crossing a tier threshold, update the applicable rates from Pricing or re-export from the app.</t>
        </is>
      </c>
    </row>
    <row r="12">
      <c r="A12" t="inlineStr">
        <is>
          <t>Partial totals</t>
        </is>
      </c>
      <c r="B12" t="inlineStr">
        <is>
          <t>Incomplete rows have blank costs; summaries are known subtotals, not full budgets.</t>
        </is>
      </c>
    </row>
    <row r="13">
      <c r="A13" t="inlineStr">
        <is>
          <t>Annualization</t>
        </is>
      </c>
      <c r="B13" t="inlineStr">
        <is>
          <t>First year = 12 identical recurring months + one-time items. Additional monthly/one-time values in Summary are editable frozen inputs.</t>
        </is>
      </c>
    </row>
    <row r="14">
      <c r="A14" t="inlineStr">
        <is>
          <t>Scope</t>
        </is>
      </c>
      <c r="B14" t="inlineStr">
        <is>
          <t>Text tokens, including total billable reasoning in output. Cache writes use supplied rates. Per-agent tool rows and the simple suite harness are separate. Cache storage, multimodal charges, and advanced platform billing require additional items/custom rates.</t>
        </is>
      </c>
    </row>
    <row r="15">
      <c r="A15" t="inlineStr">
        <is>
          <t>Scenarios</t>
        </is>
      </c>
      <c r="B15" t="inlineStr">
        <is>
          <t>Planning assumptions, not statistical confidence intervals. Execution fields in Calculations are scenario-effective values.</t>
        </is>
      </c>
    </row>
    <row r="16">
      <c r="A16" t="inlineStr">
        <is>
          <t>Detailed workflows</t>
        </is>
      </c>
      <c r="B16" t="inlineStr">
        <is>
          <t>Each model row appears in Calculations and replaces the aggregate. Column G is raw calls in AJ multiplied by step x model probability in AK; edit AJ/AK to recalculate. The Agents sheet is an aggregate import template, not a lossless backup of detailed steps.</t>
        </is>
      </c>
    </row>
    <row r="17">
      <c r="A17" t="inlineStr">
        <is>
          <t>Tools, harness, and use cases</t>
        </is>
      </c>
      <c r="B17" t="inlineStr">
        <is>
          <t>Tool costs and Harness feed the Summary recurring total through formulas. Use cases stores the precomputed fully loaded DAG cost per completion; edit the graph in the app and re-export. A fixed harness charge stays in the suite total even at zero workload.</t>
        </is>
      </c>
    </row>
    <row r="18">
      <c r="A18" t="inlineStr">
        <is>
          <t>Original currency and FX</t>
        </is>
      </c>
      <c r="B18" t="inlineStr">
        <is>
          <t>Pricing records original-currency rates and the user-supplied USD conversion snapshot. Calculations stores the selected effective USD rates; changing FX in Pricing does not update Calculations until re-export.</t>
        </is>
      </c>
    </row>
    <row r="19">
      <c r="A19" t="inlineStr">
        <is>
          <t>Version</t>
        </is>
      </c>
      <c r="B19" t="inlineStr">
        <is>
          <t>Schema 8; defaults 1</t>
        </is>
      </c>
    </row>
  </sheetData>
  <autoFilter ref="A1:B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2026-10-04T19:08:49Z</dcterms:created>
  <dcterms:modified xsi:type="dcterms:W3CDTF">2026-10-04T19:08:49Z</dcterms:modified>
</cp:coreProperties>
</file>