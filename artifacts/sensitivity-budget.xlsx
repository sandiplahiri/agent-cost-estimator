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Agent links" sheetId="5" state="visible" r:id="rId5"/>
    <sheet name="Category totals" sheetId="6" state="visible" r:id="rId6"/>
    <sheet name="Category usage" sheetId="7" state="visible" r:id="rId7"/>
    <sheet name="Category costs" sheetId="8" state="visible" r:id="rId8"/>
    <sheet name="Monthly category summary" sheetId="9" state="visible" r:id="rId9"/>
    <sheet name="Profiles" sheetId="10" state="visible" r:id="rId10"/>
    <sheet name="Scenarios" sheetId="11" state="visible" r:id="rId11"/>
    <sheet name="Additional costs" sheetId="12" state="visible" r:id="rId12"/>
    <sheet name="Pricing" sheetId="13" state="visible" r:id="rId13"/>
    <sheet name="Read me" sheetId="14" state="visible" r:id="rId14"/>
  </sheets>
  <definedNames>
    <definedName name="_xlnm._FilterDatabase" localSheetId="0" hidden="1">'Summary'!$A$1:$H$4</definedName>
    <definedName name="_xlnm._FilterDatabase" localSheetId="1" hidden="1">'Calculations'!$A$1:$AI$13</definedName>
    <definedName name="_xlnm._FilterDatabase" localSheetId="2" hidden="1">'Agents'!$A$1:$N$5</definedName>
    <definedName name="_xlnm._FilterDatabase" localSheetId="3" hidden="1">'Volume'!$A$1:$L$5</definedName>
    <definedName name="_xlnm._FilterDatabase" localSheetId="4" hidden="1">'Agent links'!$A$1:$L$1</definedName>
    <definedName name="_xlnm._FilterDatabase" localSheetId="5" hidden="1">'Category totals'!$A$1:$B$4</definedName>
    <definedName name="_xlnm._FilterDatabase" localSheetId="6" hidden="1">'Category usage'!$A$1:$F$4</definedName>
    <definedName name="_xlnm._FilterDatabase" localSheetId="7" hidden="1">'Category costs'!$A$1:$I$16</definedName>
    <definedName name="_xlnm._FilterDatabase" localSheetId="8" hidden="1">'Monthly category summary'!$A$1:$H$5</definedName>
    <definedName name="_xlnm._FilterDatabase" localSheetId="9" hidden="1">'Profiles'!$A$1:$H$4</definedName>
    <definedName name="_xlnm._FilterDatabase" localSheetId="10" hidden="1">'Scenarios'!$A$1:$G$4</definedName>
    <definedName name="_xlnm._FilterDatabase" localSheetId="11" hidden="1">'Additional costs'!$A$1:$A$1</definedName>
    <definedName name="_xlnm._FilterDatabase" localSheetId="12" hidden="1">'Pricing'!$A$1:$K$2</definedName>
    <definedName name="_xlnm._FilterDatabase" localSheetId="13" hidden="1">'Read me'!$A$1:$B$17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SUM(Calculations!X2:X5)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SUM(Calculations!X6:X9)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SUM(Calculations!X10:X13)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33.33333333333334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Low</t>
        </is>
      </c>
      <c r="B5" t="inlineStr">
        <is>
          <t>Simple agents · individual</t>
        </is>
      </c>
      <c r="C5" t="inlineStr">
        <is>
          <t>Aggregate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 t="n">
        <v>1</v>
      </c>
      <c r="H5" s="2" t="n">
        <v>0.02</v>
      </c>
      <c r="I5" s="2" t="n">
        <v>1500</v>
      </c>
      <c r="J5" s="2" t="n">
        <v>375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33.33333333333334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Expected</t>
        </is>
      </c>
      <c r="B6" t="inlineStr">
        <is>
          <t>Simple agents</t>
        </is>
      </c>
      <c r="C6" t="inlineStr">
        <is>
          <t>Aggregate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 t="n">
        <v>1</v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33.33333333333334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Expected</t>
        </is>
      </c>
      <c r="B7" t="inlineStr">
        <is>
          <t>Medium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 t="n">
        <v>4</v>
      </c>
      <c r="H7" s="2" t="n">
        <v>0.05</v>
      </c>
      <c r="I7" s="2" t="n">
        <v>6000</v>
      </c>
      <c r="J7" s="2" t="n">
        <v>1000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medium</t>
        </is>
      </c>
      <c r="AG7" s="2">
        <f>R7*(1-K7-L7)</f>
        <v/>
      </c>
      <c r="AH7" s="2">
        <f>R7*K7</f>
        <v/>
      </c>
      <c r="AI7" s="2">
        <f>R7*L7</f>
        <v/>
      </c>
    </row>
    <row r="8">
      <c r="A8" t="inlineStr">
        <is>
          <t>Expected</t>
        </is>
      </c>
      <c r="B8" t="inlineStr">
        <is>
          <t>High agents</t>
        </is>
      </c>
      <c r="C8" t="inlineStr">
        <is>
          <t>Aggregate</t>
        </is>
      </c>
      <c r="D8" t="inlineStr"/>
      <c r="E8" s="2" t="n">
        <v>0</v>
      </c>
      <c r="F8" s="2">
        <f>IF(Z8="daily_users",AA8*AB8*AC8,AD8)*AE8</f>
        <v/>
      </c>
      <c r="G8" s="2" t="n">
        <v>10</v>
      </c>
      <c r="H8" s="2" t="n">
        <v>0.1</v>
      </c>
      <c r="I8" s="2" t="n">
        <v>15000</v>
      </c>
      <c r="J8" s="2" t="n">
        <v>2000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0</v>
      </c>
      <c r="AB8" s="2" t="n">
        <v>0</v>
      </c>
      <c r="AC8" s="2" t="n">
        <v>30</v>
      </c>
      <c r="AD8" s="2" t="n">
        <v>0</v>
      </c>
      <c r="AE8" s="2" t="n">
        <v>1</v>
      </c>
      <c r="AF8" t="inlineStr">
        <is>
          <t>high</t>
        </is>
      </c>
      <c r="AG8" s="2">
        <f>R8*(1-K8-L8)</f>
        <v/>
      </c>
      <c r="AH8" s="2">
        <f>R8*K8</f>
        <v/>
      </c>
      <c r="AI8" s="2">
        <f>R8*L8</f>
        <v/>
      </c>
    </row>
    <row r="9">
      <c r="A9" t="inlineStr">
        <is>
          <t>Expected</t>
        </is>
      </c>
      <c r="B9" t="inlineStr">
        <is>
          <t>Simple agents · individual</t>
        </is>
      </c>
      <c r="C9" t="inlineStr">
        <is>
          <t>Aggregate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 t="n">
        <v>1</v>
      </c>
      <c r="H9" s="2" t="n">
        <v>0.02</v>
      </c>
      <c r="I9" s="2" t="n">
        <v>2000</v>
      </c>
      <c r="J9" s="2" t="n">
        <v>500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33.33333333333334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</row>
    <row r="10">
      <c r="A10" t="inlineStr">
        <is>
          <t>High</t>
        </is>
      </c>
      <c r="B10" t="inlineStr">
        <is>
          <t>Simple agents</t>
        </is>
      </c>
      <c r="C10" t="inlineStr">
        <is>
          <t>Aggregate</t>
        </is>
      </c>
      <c r="D10" t="inlineStr">
        <is>
          <t>Fixture A</t>
        </is>
      </c>
      <c r="E10" s="2" t="n">
        <v>1</v>
      </c>
      <c r="F10" s="2">
        <f>IF(Z10="daily_users",AA10*AB10*AC10,AD10)*AE10</f>
        <v/>
      </c>
      <c r="G10" s="2" t="n">
        <v>1</v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1</v>
      </c>
      <c r="AB10" s="2" t="n">
        <v>33.33333333333334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</row>
    <row r="11">
      <c r="A11" t="inlineStr">
        <is>
          <t>High</t>
        </is>
      </c>
      <c r="B11" t="inlineStr">
        <is>
          <t>Medium agents</t>
        </is>
      </c>
      <c r="C11" t="inlineStr">
        <is>
          <t>Aggregate</t>
        </is>
      </c>
      <c r="D11" t="inlineStr"/>
      <c r="E11" s="2" t="n">
        <v>0</v>
      </c>
      <c r="F11" s="2">
        <f>IF(Z11="daily_users",AA11*AB11*AC11,AD11)*AE11</f>
        <v/>
      </c>
      <c r="G11" s="2" t="n">
        <v>4</v>
      </c>
      <c r="H11" s="2" t="n">
        <v>0.05</v>
      </c>
      <c r="I11" s="2" t="n">
        <v>9000</v>
      </c>
      <c r="J11" s="2" t="n">
        <v>1500</v>
      </c>
      <c r="K11" s="2" t="n">
        <v>0</v>
      </c>
      <c r="L11" s="2" t="n">
        <v>0</v>
      </c>
      <c r="Q11" s="2">
        <f>E11*F11*G11*(1+H11)</f>
        <v/>
      </c>
      <c r="R11" s="2">
        <f>Q11*I11</f>
        <v/>
      </c>
      <c r="S11" s="2">
        <f>Q11*J11</f>
        <v/>
      </c>
      <c r="T11" s="2">
        <f>R11*(1-K11-L11)*M11/1000000</f>
        <v/>
      </c>
      <c r="U11" s="2">
        <f>S11*N11/1000000</f>
        <v/>
      </c>
      <c r="V11" s="2">
        <f>R11*K11*O11/1000000</f>
        <v/>
      </c>
      <c r="W11" s="2">
        <f>R11*L11*P11/1000000</f>
        <v/>
      </c>
      <c r="X11" s="2">
        <f>SUM(T11:W11)</f>
        <v/>
      </c>
      <c r="Y11" t="inlineStr">
        <is>
          <t>Complete</t>
        </is>
      </c>
      <c r="Z11" t="inlineStr">
        <is>
          <t>daily_users</t>
        </is>
      </c>
      <c r="AA11" s="2" t="n">
        <v>0</v>
      </c>
      <c r="AB11" s="2" t="n">
        <v>0</v>
      </c>
      <c r="AC11" s="2" t="n">
        <v>30</v>
      </c>
      <c r="AD11" s="2" t="n">
        <v>0</v>
      </c>
      <c r="AE11" s="2" t="n">
        <v>1</v>
      </c>
      <c r="AF11" t="inlineStr">
        <is>
          <t>medium</t>
        </is>
      </c>
      <c r="AG11" s="2">
        <f>R11*(1-K11-L11)</f>
        <v/>
      </c>
      <c r="AH11" s="2">
        <f>R11*K11</f>
        <v/>
      </c>
      <c r="AI11" s="2">
        <f>R11*L11</f>
        <v/>
      </c>
    </row>
    <row r="12">
      <c r="A12" t="inlineStr">
        <is>
          <t>High</t>
        </is>
      </c>
      <c r="B12" t="inlineStr">
        <is>
          <t>High agents</t>
        </is>
      </c>
      <c r="C12" t="inlineStr">
        <is>
          <t>Aggregate</t>
        </is>
      </c>
      <c r="D12" t="inlineStr"/>
      <c r="E12" s="2" t="n">
        <v>0</v>
      </c>
      <c r="F12" s="2">
        <f>IF(Z12="daily_users",AA12*AB12*AC12,AD12)*AE12</f>
        <v/>
      </c>
      <c r="G12" s="2" t="n">
        <v>10</v>
      </c>
      <c r="H12" s="2" t="n">
        <v>0.1</v>
      </c>
      <c r="I12" s="2" t="n">
        <v>22500</v>
      </c>
      <c r="J12" s="2" t="n">
        <v>3000</v>
      </c>
      <c r="K12" s="2" t="n">
        <v>0</v>
      </c>
      <c r="L12" s="2" t="n">
        <v>0</v>
      </c>
      <c r="Q12" s="2">
        <f>E12*F12*G12*(1+H12)</f>
        <v/>
      </c>
      <c r="R12" s="2">
        <f>Q12*I12</f>
        <v/>
      </c>
      <c r="S12" s="2">
        <f>Q12*J12</f>
        <v/>
      </c>
      <c r="T12" s="2">
        <f>R12*(1-K12-L12)*M12/1000000</f>
        <v/>
      </c>
      <c r="U12" s="2">
        <f>S12*N12/1000000</f>
        <v/>
      </c>
      <c r="V12" s="2">
        <f>R12*K12*O12/1000000</f>
        <v/>
      </c>
      <c r="W12" s="2">
        <f>R12*L12*P12/1000000</f>
        <v/>
      </c>
      <c r="X12" s="2">
        <f>SUM(T12:W12)</f>
        <v/>
      </c>
      <c r="Y12" t="inlineStr">
        <is>
          <t>Complete</t>
        </is>
      </c>
      <c r="Z12" t="inlineStr">
        <is>
          <t>daily_users</t>
        </is>
      </c>
      <c r="AA12" s="2" t="n">
        <v>0</v>
      </c>
      <c r="AB12" s="2" t="n">
        <v>0</v>
      </c>
      <c r="AC12" s="2" t="n">
        <v>30</v>
      </c>
      <c r="AD12" s="2" t="n">
        <v>0</v>
      </c>
      <c r="AE12" s="2" t="n">
        <v>1</v>
      </c>
      <c r="AF12" t="inlineStr">
        <is>
          <t>high</t>
        </is>
      </c>
      <c r="AG12" s="2">
        <f>R12*(1-K12-L12)</f>
        <v/>
      </c>
      <c r="AH12" s="2">
        <f>R12*K12</f>
        <v/>
      </c>
      <c r="AI12" s="2">
        <f>R12*L12</f>
        <v/>
      </c>
    </row>
    <row r="13">
      <c r="A13" t="inlineStr">
        <is>
          <t>High</t>
        </is>
      </c>
      <c r="B13" t="inlineStr">
        <is>
          <t>Simple agents · individual</t>
        </is>
      </c>
      <c r="C13" t="inlineStr">
        <is>
          <t>Aggregate</t>
        </is>
      </c>
      <c r="D13" t="inlineStr">
        <is>
          <t>Fixture A</t>
        </is>
      </c>
      <c r="E13" s="2" t="n">
        <v>1</v>
      </c>
      <c r="F13" s="2">
        <f>IF(Z13="daily_users",AA13*AB13*AC13,AD13)*AE13</f>
        <v/>
      </c>
      <c r="G13" s="2" t="n">
        <v>1</v>
      </c>
      <c r="H13" s="2" t="n">
        <v>0.02</v>
      </c>
      <c r="I13" s="2" t="n">
        <v>3000</v>
      </c>
      <c r="J13" s="2" t="n">
        <v>750</v>
      </c>
      <c r="K13" s="2" t="n">
        <v>0</v>
      </c>
      <c r="L13" s="2" t="n">
        <v>0</v>
      </c>
      <c r="M13" s="2" t="n">
        <v>2</v>
      </c>
      <c r="N13" s="2" t="n">
        <v>8</v>
      </c>
      <c r="Q13" s="2">
        <f>E13*F13*G13*(1+H13)</f>
        <v/>
      </c>
      <c r="R13" s="2">
        <f>Q13*I13</f>
        <v/>
      </c>
      <c r="S13" s="2">
        <f>Q13*J13</f>
        <v/>
      </c>
      <c r="T13" s="2">
        <f>R13*(1-K13-L13)*M13/1000000</f>
        <v/>
      </c>
      <c r="U13" s="2">
        <f>S13*N13/1000000</f>
        <v/>
      </c>
      <c r="V13" s="2">
        <f>R13*K13*O13/1000000</f>
        <v/>
      </c>
      <c r="W13" s="2">
        <f>R13*L13*P13/1000000</f>
        <v/>
      </c>
      <c r="X13" s="2">
        <f>SUM(T13:W13)</f>
        <v/>
      </c>
      <c r="Y13" t="inlineStr">
        <is>
          <t>Complete</t>
        </is>
      </c>
      <c r="Z13" t="inlineStr">
        <is>
          <t>daily_users</t>
        </is>
      </c>
      <c r="AA13" s="2" t="n">
        <v>1</v>
      </c>
      <c r="AB13" s="2" t="n">
        <v>33.33333333333334</v>
      </c>
      <c r="AC13" s="2" t="n">
        <v>30</v>
      </c>
      <c r="AD13" s="2" t="n">
        <v>0</v>
      </c>
      <c r="AE13" s="2" t="n">
        <v>1</v>
      </c>
      <c r="AF13" t="inlineStr">
        <is>
          <t>simple</t>
        </is>
      </c>
      <c r="AG13" s="2">
        <f>R13*(1-K13-L13)</f>
        <v/>
      </c>
      <c r="AH13" s="2">
        <f>R13*K13</f>
        <v/>
      </c>
      <c r="AI13" s="2">
        <f>R13*L13</f>
        <v/>
      </c>
    </row>
  </sheetData>
  <autoFilter ref="A1:A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33.33333333333334</v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</row>
    <row r="5">
      <c r="A5" t="inlineStr">
        <is>
          <t>Simple agents · individual</t>
        </is>
      </c>
      <c r="B5" t="inlineStr">
        <is>
          <t>simple</t>
        </is>
      </c>
      <c r="C5" s="2" t="n">
        <v>1</v>
      </c>
      <c r="D5" s="2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daily_users</t>
        </is>
      </c>
      <c r="M5" s="2" t="n">
        <v>1</v>
      </c>
      <c r="N5" s="2" t="n">
        <v>33.33333333333334</v>
      </c>
    </row>
  </sheetData>
  <autoFilter ref="A1:N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33.33333333333334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ece29954-a0a1-4f8a-8d70-583cc638c3f4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fe215aad-9254-4472-b317-1e2f3a7dacdb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0ac99b6b-2c81-44cb-a88b-f3e202113186</t>
        </is>
      </c>
    </row>
    <row r="5">
      <c r="A5" t="inlineStr">
        <is>
          <t>Simple agents · individual</t>
        </is>
      </c>
      <c r="B5" t="inlineStr">
        <is>
          <t>simple</t>
        </is>
      </c>
      <c r="C5" s="2" t="n">
        <v>1</v>
      </c>
      <c r="D5" t="inlineStr">
        <is>
          <t>daily_users</t>
        </is>
      </c>
      <c r="E5" s="2" t="n">
        <v>1</v>
      </c>
      <c r="F5" s="2" t="n">
        <v>33.33333333333334</v>
      </c>
      <c r="G5" s="2" t="n">
        <v>30</v>
      </c>
      <c r="H5" s="2" t="n">
        <v>0</v>
      </c>
      <c r="I5" s="2">
        <f>IF(D5="daily_users",E5*F5*G5,H5)</f>
        <v/>
      </c>
      <c r="J5" s="2">
        <f>C5*I5</f>
        <v/>
      </c>
      <c r="K5" t="inlineStr">
        <is>
          <t>123d26d5-dd19-4069-972e-fe22654110b4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SUMIF(Volume!B2:B5,A2,Volume!J2:J5)</f>
        <v/>
      </c>
    </row>
    <row r="3">
      <c r="A3" t="inlineStr">
        <is>
          <t>medium</t>
        </is>
      </c>
      <c r="B3" s="2">
        <f>SUMIF(Volume!B2:B5,A3,Volume!J2:J5)</f>
        <v/>
      </c>
    </row>
    <row r="4">
      <c r="A4" t="inlineStr">
        <is>
          <t>high</t>
        </is>
      </c>
      <c r="B4" s="2">
        <f>SUMIF(Volume!B2:B5,A4,Volume!J2:J5)</f>
        <v/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SUMIFS(Calculations!R2:R13,Calculations!A2:A13,"Expected",Calculations!AF2:AF13,A2)</f>
        <v/>
      </c>
      <c r="C2" s="2">
        <f>SUMIFS(Calculations!S2:S13,Calculations!A2:A13,"Expected",Calculations!AF2:AF13,A2)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SUMIFS(Calculations!R2:R13,Calculations!A2:A13,"Expected",Calculations!AF2:AF13,A3)</f>
        <v/>
      </c>
      <c r="C3" s="2">
        <f>SUMIFS(Calculations!S2:S13,Calculations!A2:A13,"Expected",Calculations!AF2:AF13,A3)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SUMIFS(Calculations!R2:R13,Calculations!A2:A13,"Expected",Calculations!AF2:AF13,A4)</f>
        <v/>
      </c>
      <c r="C4" s="2">
        <f>SUMIFS(Calculations!S2:S13,Calculations!A2:A13,"Expected",Calculations!AF2:AF13,A4)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SUMIFS(Calculations!AG2:AG13,Calculations!A2:A13,"Expected",Calculations!AF2:AF13,A2)</f>
        <v/>
      </c>
      <c r="D2" s="2">
        <f>SUMIFS(Calculations!T2:T13,Calculations!A2:A13,"Expected",Calculations!AF2:AF13,A2)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SUMIFS(Calculations!AH2:AH13,Calculations!A2:A13,"Expected",Calculations!AF2:AF13,A3)</f>
        <v/>
      </c>
      <c r="D3" s="2">
        <f>SUMIFS(Calculations!V2:V13,Calculations!A2:A13,"Expected",Calculations!AF2:AF13,A3)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SUMIFS(Calculations!AI2:AI13,Calculations!A2:A13,"Expected",Calculations!AF2:AF13,A4)</f>
        <v/>
      </c>
      <c r="D4" s="2">
        <f>SUMIFS(Calculations!W2:W13,Calculations!A2:A13,"Expected",Calculations!AF2:AF13,A4)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SUMIFS(Calculations!S2:S13,Calculations!A2:A13,"Expected",Calculations!AF2:AF13,A5)</f>
        <v/>
      </c>
      <c r="D5" s="2">
        <f>SUMIFS(Calculations!U2:U13,Calculations!A2:A13,"Expected",Calculations!AF2:AF13,A5)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SUMIFS(Calculations!AG2:AG13,Calculations!A2:A13,"Expected",Calculations!AF2:AF13,A7)</f>
        <v/>
      </c>
      <c r="D7" s="2">
        <f>SUMIFS(Calculations!T2:T13,Calculations!A2:A13,"Expected",Calculations!AF2:AF13,A7)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SUMIFS(Calculations!AH2:AH13,Calculations!A2:A13,"Expected",Calculations!AF2:AF13,A8)</f>
        <v/>
      </c>
      <c r="D8" s="2">
        <f>SUMIFS(Calculations!V2:V13,Calculations!A2:A13,"Expected",Calculations!AF2:AF13,A8)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SUMIFS(Calculations!AI2:AI13,Calculations!A2:A13,"Expected",Calculations!AF2:AF13,A9)</f>
        <v/>
      </c>
      <c r="D9" s="2">
        <f>SUMIFS(Calculations!W2:W13,Calculations!A2:A13,"Expected",Calculations!AF2:AF13,A9)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SUMIFS(Calculations!S2:S13,Calculations!A2:A13,"Expected",Calculations!AF2:AF13,A10)</f>
        <v/>
      </c>
      <c r="D10" s="2">
        <f>SUMIFS(Calculations!U2:U13,Calculations!A2:A13,"Expected",Calculations!AF2:AF13,A10)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SUMIFS(Calculations!AG2:AG13,Calculations!A2:A13,"Expected",Calculations!AF2:AF13,A12)</f>
        <v/>
      </c>
      <c r="D12" s="2">
        <f>SUMIFS(Calculations!T2:T13,Calculations!A2:A13,"Expected",Calculations!AF2:AF13,A12)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SUMIFS(Calculations!AH2:AH13,Calculations!A2:A13,"Expected",Calculations!AF2:AF13,A13)</f>
        <v/>
      </c>
      <c r="D13" s="2">
        <f>SUMIFS(Calculations!V2:V13,Calculations!A2:A13,"Expected",Calculations!AF2:AF13,A13)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SUMIFS(Calculations!AI2:AI13,Calculations!A2:A13,"Expected",Calculations!AF2:AF13,A14)</f>
        <v/>
      </c>
      <c r="D14" s="2">
        <f>SUMIFS(Calculations!W2:W13,Calculations!A2:A13,"Expected",Calculations!AF2:AF13,A14)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SUMIFS(Calculations!S2:S13,Calculations!A2:A13,"Expected",Calculations!AF2:AF13,A15)</f>
        <v/>
      </c>
      <c r="D15" s="2">
        <f>SUMIFS(Calculations!U2:U13,Calculations!A2:A13,"Expected",Calculations!AF2:AF13,A15)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2026-10-02T20:28:27.284Z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Tools, cache storage, multimodal charges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step appears in Calculations and replaces the aggregate. The Agents sheet is an aggregate import template, not a lossless backup of detailed steps.</t>
        </is>
      </c>
    </row>
    <row r="17">
      <c r="A17" t="inlineStr">
        <is>
          <t>Version</t>
        </is>
      </c>
      <c r="B17" t="inlineStr">
        <is>
          <t>Schema 3; defaults 1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2026-10-02T20:28:29Z</dcterms:created>
  <dcterms:modified xsi:type="dcterms:W3CDTF">2026-10-02T20:28:29Z</dcterms:modified>
</cp:coreProperties>
</file>