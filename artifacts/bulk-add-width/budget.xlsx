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lculations" sheetId="2" state="visible" r:id="rId2"/>
    <sheet name="Agents" sheetId="3" state="visible" r:id="rId3"/>
    <sheet name="Step options" sheetId="4" state="visible" r:id="rId4"/>
    <sheet name="Step actions" sheetId="5" state="visible" r:id="rId5"/>
    <sheet name="Agent identities" sheetId="6" state="visible" r:id="rId6"/>
    <sheet name="Volume" sheetId="7" state="visible" r:id="rId7"/>
    <sheet name="Agent links" sheetId="8" state="visible" r:id="rId8"/>
    <sheet name="Tool costs" sheetId="9" state="visible" r:id="rId9"/>
    <sheet name="Harness" sheetId="10" state="visible" r:id="rId10"/>
    <sheet name="Use cases" sheetId="11" state="visible" r:id="rId11"/>
    <sheet name="Category totals" sheetId="12" state="visible" r:id="rId12"/>
    <sheet name="Category usage" sheetId="13" state="visible" r:id="rId13"/>
    <sheet name="Category costs" sheetId="14" state="visible" r:id="rId14"/>
    <sheet name="Monthly scenario summary" sheetId="15" state="visible" r:id="rId15"/>
    <sheet name="Monthly category summary" sheetId="16" state="visible" r:id="rId16"/>
    <sheet name="Profiles" sheetId="17" state="visible" r:id="rId17"/>
    <sheet name="Scenarios" sheetId="18" state="visible" r:id="rId18"/>
    <sheet name="Additional costs" sheetId="19" state="visible" r:id="rId19"/>
    <sheet name="Pricing" sheetId="20" state="visible" r:id="rId20"/>
    <sheet name="Read me" sheetId="21" state="visible" r:id="rId21"/>
  </sheets>
  <definedNames>
    <definedName name="_xlnm._FilterDatabase" localSheetId="0" hidden="1">'Summary'!$A$1:$J$4</definedName>
    <definedName name="_xlnm._FilterDatabase" localSheetId="1" hidden="1">'Calculations'!$A$1:$AM$10</definedName>
    <definedName name="_xlnm._FilterDatabase" localSheetId="2" hidden="1">'Agents'!$A$1:$Q$4</definedName>
    <definedName name="_xlnm._FilterDatabase" localSheetId="3" hidden="1">'Step options'!$A$1:$U$1</definedName>
    <definedName name="_xlnm._FilterDatabase" localSheetId="4" hidden="1">'Step actions'!$A$1:$L$1</definedName>
    <definedName name="_xlnm._FilterDatabase" localSheetId="5" hidden="1">'Agent identities'!$A$1:$E$5</definedName>
    <definedName name="_xlnm._FilterDatabase" localSheetId="6" hidden="1">'Volume'!$A$1:$L$4</definedName>
    <definedName name="_xlnm._FilterDatabase" localSheetId="7" hidden="1">'Agent links'!$A$1:$L$1</definedName>
    <definedName name="_xlnm._FilterDatabase" localSheetId="8" hidden="1">'Tool costs'!$A$1:$J$1</definedName>
    <definedName name="_xlnm._FilterDatabase" localSheetId="9" hidden="1">'Harness'!$A$1:$K$4</definedName>
    <definedName name="_xlnm._FilterDatabase" localSheetId="10" hidden="1">'Use cases'!$A$1:$I$10</definedName>
    <definedName name="_xlnm._FilterDatabase" localSheetId="11" hidden="1">'Category totals'!$A$1:$B$4</definedName>
    <definedName name="_xlnm._FilterDatabase" localSheetId="12" hidden="1">'Category usage'!$A$1:$F$4</definedName>
    <definedName name="_xlnm._FilterDatabase" localSheetId="13" hidden="1">'Category costs'!$A$1:$I$16</definedName>
    <definedName name="_xlnm._FilterDatabase" localSheetId="14" hidden="1">'Monthly scenario summary'!$A$1:$K$4</definedName>
    <definedName name="_xlnm._FilterDatabase" localSheetId="15" hidden="1">'Monthly category summary'!$A$1:$H$5</definedName>
    <definedName name="_xlnm._FilterDatabase" localSheetId="16" hidden="1">'Profiles'!$A$1:$G$4</definedName>
    <definedName name="_xlnm._FilterDatabase" localSheetId="17" hidden="1">'Scenarios'!$A$1:$G$4</definedName>
    <definedName name="_xlnm._FilterDatabase" localSheetId="18" hidden="1">'Additional costs'!$A$1:$A$1</definedName>
    <definedName name="_xlnm._FilterDatabase" localSheetId="19" hidden="1">'Pricing'!$A$1:$R$2</definedName>
    <definedName name="_xlnm._FilterDatabase" localSheetId="20" hidden="1">'Read me'!$A$1:$B$19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0000;[Red]-#,##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3C3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5" customWidth="1" min="3" max="3"/>
    <col width="24" customWidth="1" min="4" max="4"/>
    <col width="16" customWidth="1" min="5" max="5"/>
    <col width="18" customWidth="1" min="6" max="6"/>
    <col width="17" customWidth="1" min="7" max="7"/>
    <col width="16" customWidth="1" min="8" max="8"/>
    <col width="19" customWidth="1" min="9" max="9"/>
    <col width="22" customWidth="1" min="10" max="10"/>
  </cols>
  <sheetData>
    <row r="1" ht="32" customHeight="1">
      <c r="A1" s="1" t="inlineStr">
        <is>
          <t>Scenario</t>
        </is>
      </c>
      <c r="B1" s="1" t="inlineStr">
        <is>
          <t>LLM monthly USD</t>
        </is>
      </c>
      <c r="C1" s="1" t="inlineStr">
        <is>
          <t>Additional monthly USD</t>
        </is>
      </c>
      <c r="D1" s="1" t="inlineStr">
        <is>
          <t>Recurring monthly USD</t>
        </is>
      </c>
      <c r="E1" s="1" t="inlineStr">
        <is>
          <t>One-time USD</t>
        </is>
      </c>
      <c r="F1" s="1" t="inlineStr">
        <is>
          <t>First month USD</t>
        </is>
      </c>
      <c r="G1" s="1" t="inlineStr">
        <is>
          <t>First year USD</t>
        </is>
      </c>
      <c r="H1" s="1" t="inlineStr">
        <is>
          <t>Status</t>
        </is>
      </c>
      <c r="I1" s="1" t="inlineStr">
        <is>
          <t>Tool monthly USD</t>
        </is>
      </c>
      <c r="J1" s="1" t="inlineStr">
        <is>
          <t>Harness monthly USD</t>
        </is>
      </c>
    </row>
    <row r="2">
      <c r="A2" t="inlineStr">
        <is>
          <t>Low</t>
        </is>
      </c>
      <c r="B2" s="2">
        <f>SUM(Calculations!X2:X4)</f>
        <v/>
      </c>
      <c r="C2" s="2" t="n">
        <v>0</v>
      </c>
      <c r="D2" s="2">
        <f>B2+C2+I2+J2</f>
        <v/>
      </c>
      <c r="E2" s="2" t="n">
        <v>0</v>
      </c>
      <c r="F2" s="2">
        <f>D2+E2</f>
        <v/>
      </c>
      <c r="G2" s="2">
        <f>D2*12+E2</f>
        <v/>
      </c>
      <c r="H2" t="inlineStr">
        <is>
          <t>Complete</t>
        </is>
      </c>
      <c r="I2" s="2">
        <f>0</f>
        <v/>
      </c>
      <c r="J2" s="2">
        <f>Harness!I2</f>
        <v/>
      </c>
    </row>
    <row r="3">
      <c r="A3" t="inlineStr">
        <is>
          <t>Expected</t>
        </is>
      </c>
      <c r="B3" s="2">
        <f>SUM(Calculations!X5:X7)</f>
        <v/>
      </c>
      <c r="C3" s="2" t="n">
        <v>0</v>
      </c>
      <c r="D3" s="2">
        <f>B3+C3+I3+J3</f>
        <v/>
      </c>
      <c r="E3" s="2" t="n">
        <v>0</v>
      </c>
      <c r="F3" s="2">
        <f>D3+E3</f>
        <v/>
      </c>
      <c r="G3" s="2">
        <f>D3*12+E3</f>
        <v/>
      </c>
      <c r="H3" t="inlineStr">
        <is>
          <t>Complete</t>
        </is>
      </c>
      <c r="I3" s="2">
        <f>0</f>
        <v/>
      </c>
      <c r="J3" s="2">
        <f>Harness!I3</f>
        <v/>
      </c>
    </row>
    <row r="4">
      <c r="A4" t="inlineStr">
        <is>
          <t>High</t>
        </is>
      </c>
      <c r="B4" s="2">
        <f>SUM(Calculations!X8:X10)</f>
        <v/>
      </c>
      <c r="C4" s="2" t="n">
        <v>0</v>
      </c>
      <c r="D4" s="2">
        <f>B4+C4+I4+J4</f>
        <v/>
      </c>
      <c r="E4" s="2" t="n">
        <v>0</v>
      </c>
      <c r="F4" s="2">
        <f>D4+E4</f>
        <v/>
      </c>
      <c r="G4" s="2">
        <f>D4*12+E4</f>
        <v/>
      </c>
      <c r="H4" t="inlineStr">
        <is>
          <t>Complete</t>
        </is>
      </c>
      <c r="I4" s="2">
        <f>0</f>
        <v/>
      </c>
      <c r="J4" s="2">
        <f>Harness!I4</f>
        <v/>
      </c>
    </row>
  </sheetData>
  <autoFilter ref="A1:J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38" customWidth="1" min="6" max="6"/>
    <col width="19" customWidth="1" min="7" max="7"/>
    <col width="21" customWidth="1" min="8" max="8"/>
    <col width="16" customWidth="1" min="9" max="9"/>
    <col width="16" customWidth="1" min="10" max="10"/>
    <col width="22" customWidth="1" min="11" max="11"/>
    <col width="23" customWidth="1" min="12" max="12"/>
    <col width="16" customWidth="1" min="13" max="13"/>
    <col width="16" customWidth="1" min="14" max="14"/>
    <col width="19" customWidth="1" min="15" max="15"/>
    <col width="20" customWidth="1" min="16" max="16"/>
    <col width="16" customWidth="1" min="17" max="17"/>
    <col width="21" customWidth="1" min="18" max="18"/>
    <col width="22" customWidth="1" min="19" max="19"/>
    <col width="16" customWidth="1" min="20" max="20"/>
    <col width="16" customWidth="1" min="21" max="21"/>
    <col width="17" customWidth="1" min="22" max="22"/>
    <col width="18" customWidth="1" min="23" max="23"/>
    <col width="18" customWidth="1" min="24" max="24"/>
    <col width="16" customWidth="1" min="25" max="25"/>
    <col width="16" customWidth="1" min="26" max="26"/>
    <col width="18" customWidth="1" min="27" max="27"/>
    <col width="29" customWidth="1" min="28" max="28"/>
    <col width="22" customWidth="1" min="29" max="29"/>
    <col width="33" customWidth="1" min="30" max="30"/>
    <col width="25" customWidth="1" min="31" max="31"/>
    <col width="16" customWidth="1" min="32" max="32"/>
    <col width="30" customWidth="1" min="33" max="33"/>
    <col width="27" customWidth="1" min="34" max="34"/>
    <col width="27" customWidth="1" min="35" max="35"/>
    <col width="38" customWidth="1" min="36" max="36"/>
    <col width="27" customWidth="1" min="37" max="37"/>
    <col width="16" customWidth="1" min="38" max="38"/>
    <col width="16" customWidth="1" min="39" max="39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Step</t>
        </is>
      </c>
      <c r="D1" s="1" t="inlineStr">
        <is>
          <t>Model</t>
        </is>
      </c>
      <c r="E1" s="1" t="inlineStr">
        <is>
          <t>Count</t>
        </is>
      </c>
      <c r="F1" s="1" t="inlineStr">
        <is>
          <t>Total monthly invocations per agent</t>
        </is>
      </c>
      <c r="G1" s="1" t="inlineStr">
        <is>
          <t>Calls/invocation</t>
        </is>
      </c>
      <c r="H1" s="1" t="inlineStr">
        <is>
          <t>Extra attempt rate</t>
        </is>
      </c>
      <c r="I1" s="1" t="inlineStr">
        <is>
          <t>Input/call</t>
        </is>
      </c>
      <c r="J1" s="1" t="inlineStr">
        <is>
          <t>Output/call</t>
        </is>
      </c>
      <c r="K1" s="1" t="inlineStr">
        <is>
          <t>Cache read fraction</t>
        </is>
      </c>
      <c r="L1" s="1" t="inlineStr">
        <is>
          <t>Cache write fraction</t>
        </is>
      </c>
      <c r="M1" s="1" t="inlineStr">
        <is>
          <t>Input USD/M</t>
        </is>
      </c>
      <c r="N1" s="1" t="inlineStr">
        <is>
          <t>Output USD/M</t>
        </is>
      </c>
      <c r="O1" s="1" t="inlineStr">
        <is>
          <t>Cache read USD/M</t>
        </is>
      </c>
      <c r="P1" s="1" t="inlineStr">
        <is>
          <t>Cache write USD/M</t>
        </is>
      </c>
      <c r="Q1" s="1" t="inlineStr">
        <is>
          <t>Monthly calls</t>
        </is>
      </c>
      <c r="R1" s="1" t="inlineStr">
        <is>
          <t>Input tokens/month</t>
        </is>
      </c>
      <c r="S1" s="1" t="inlineStr">
        <is>
          <t>Output tokens/month</t>
        </is>
      </c>
      <c r="T1" s="1" t="inlineStr">
        <is>
          <t>Input USD</t>
        </is>
      </c>
      <c r="U1" s="1" t="inlineStr">
        <is>
          <t>Output USD</t>
        </is>
      </c>
      <c r="V1" s="1" t="inlineStr">
        <is>
          <t>Cache read USD</t>
        </is>
      </c>
      <c r="W1" s="1" t="inlineStr">
        <is>
          <t>Cache write USD</t>
        </is>
      </c>
      <c r="X1" s="1" t="inlineStr">
        <is>
          <t>LLM monthly USD</t>
        </is>
      </c>
      <c r="Y1" s="1" t="inlineStr">
        <is>
          <t>Status</t>
        </is>
      </c>
      <c r="Z1" s="1" t="inlineStr">
        <is>
          <t>Volume source</t>
        </is>
      </c>
      <c r="AA1" s="1" t="inlineStr">
        <is>
          <t>Users/day/agent</t>
        </is>
      </c>
      <c r="AB1" s="1" t="inlineStr">
        <is>
          <t>Invocations/user/agent/day</t>
        </is>
      </c>
      <c r="AC1" s="1" t="inlineStr">
        <is>
          <t>Planning days/month</t>
        </is>
      </c>
      <c r="AD1" s="1" t="inlineStr">
        <is>
          <t>Manual invocations/agent/month</t>
        </is>
      </c>
      <c r="AE1" s="1" t="inlineStr">
        <is>
          <t>Scenario volume factor</t>
        </is>
      </c>
      <c r="AF1" s="1" t="inlineStr">
        <is>
          <t>Complexity</t>
        </is>
      </c>
      <c r="AG1" s="1" t="inlineStr">
        <is>
          <t>Uncached input tokens/month</t>
        </is>
      </c>
      <c r="AH1" s="1" t="inlineStr">
        <is>
          <t>Cached read tokens/month</t>
        </is>
      </c>
      <c r="AI1" s="1" t="inlineStr">
        <is>
          <t>Cache write tokens/month</t>
        </is>
      </c>
      <c r="AJ1" s="1" t="inlineStr">
        <is>
          <t>Raw calls/occurrence after scenario</t>
        </is>
      </c>
      <c r="AK1" s="1" t="inlineStr">
        <is>
          <t>Step x model probability</t>
        </is>
      </c>
      <c r="AL1" s="1" t="inlineStr">
        <is>
          <t>Step ID</t>
        </is>
      </c>
      <c r="AM1" s="1" t="inlineStr">
        <is>
          <t>Model role</t>
        </is>
      </c>
    </row>
    <row r="2">
      <c r="A2" t="inlineStr">
        <is>
          <t>Low</t>
        </is>
      </c>
      <c r="B2" t="inlineStr">
        <is>
          <t>Simple agents</t>
        </is>
      </c>
      <c r="C2" t="inlineStr">
        <is>
          <t>Aggregate</t>
        </is>
      </c>
      <c r="D2" t="inlineStr">
        <is>
          <t>Fixture A</t>
        </is>
      </c>
      <c r="E2" s="2" t="n">
        <v>2</v>
      </c>
      <c r="F2" s="2">
        <f>IF(Z2="daily_users",AA2*AB2*AC2,AD2)*AE2</f>
        <v/>
      </c>
      <c r="G2" s="2">
        <f>AJ2*AK2</f>
        <v/>
      </c>
      <c r="H2" s="2" t="n">
        <v>0.02</v>
      </c>
      <c r="I2" s="2" t="n">
        <v>1500</v>
      </c>
      <c r="J2" s="2" t="n">
        <v>375</v>
      </c>
      <c r="K2" s="2" t="n">
        <v>0</v>
      </c>
      <c r="L2" s="2" t="n">
        <v>0</v>
      </c>
      <c r="M2" s="2" t="n">
        <v>2</v>
      </c>
      <c r="N2" s="2" t="n">
        <v>8</v>
      </c>
      <c r="Q2" s="2">
        <f>E2*F2*G2*(1+H2)</f>
        <v/>
      </c>
      <c r="R2" s="2">
        <f>Q2*I2</f>
        <v/>
      </c>
      <c r="S2" s="2">
        <f>Q2*J2</f>
        <v/>
      </c>
      <c r="T2" s="2">
        <f>R2*(1-K2-L2)*M2/1000000</f>
        <v/>
      </c>
      <c r="U2" s="2">
        <f>S2*N2/1000000</f>
        <v/>
      </c>
      <c r="V2" s="2">
        <f>R2*K2*O2/1000000</f>
        <v/>
      </c>
      <c r="W2" s="2">
        <f>R2*L2*P2/1000000</f>
        <v/>
      </c>
      <c r="X2" s="2">
        <f>SUM(T2:W2)</f>
        <v/>
      </c>
      <c r="Y2" t="inlineStr">
        <is>
          <t>Complete</t>
        </is>
      </c>
      <c r="Z2" t="inlineStr">
        <is>
          <t>daily_users</t>
        </is>
      </c>
      <c r="AA2" s="2" t="n">
        <v>2</v>
      </c>
      <c r="AB2" s="2" t="n">
        <v>3</v>
      </c>
      <c r="AC2" s="2" t="n">
        <v>30</v>
      </c>
      <c r="AD2" s="2" t="n">
        <v>0</v>
      </c>
      <c r="AE2" s="2" t="n">
        <v>1</v>
      </c>
      <c r="AF2" t="inlineStr">
        <is>
          <t>simple</t>
        </is>
      </c>
      <c r="AG2" s="2">
        <f>R2*(1-K2-L2)</f>
        <v/>
      </c>
      <c r="AH2" s="2">
        <f>R2*K2</f>
        <v/>
      </c>
      <c r="AI2" s="2">
        <f>R2*L2</f>
        <v/>
      </c>
      <c r="AJ2" s="2" t="n">
        <v>1</v>
      </c>
      <c r="AK2" s="2" t="n">
        <v>1</v>
      </c>
      <c r="AM2" t="inlineStr"/>
    </row>
    <row r="3">
      <c r="A3" t="inlineStr">
        <is>
          <t>Low</t>
        </is>
      </c>
      <c r="B3" t="inlineStr">
        <is>
          <t>Medium agents</t>
        </is>
      </c>
      <c r="C3" t="inlineStr">
        <is>
          <t>Aggregate</t>
        </is>
      </c>
      <c r="D3" t="inlineStr">
        <is>
          <t>Fixture A</t>
        </is>
      </c>
      <c r="E3" s="2" t="n">
        <v>1</v>
      </c>
      <c r="F3" s="2">
        <f>IF(Z3="daily_users",AA3*AB3*AC3,AD3)*AE3</f>
        <v/>
      </c>
      <c r="G3" s="2">
        <f>AJ3*AK3</f>
        <v/>
      </c>
      <c r="H3" s="2" t="n">
        <v>0.05</v>
      </c>
      <c r="I3" s="2" t="n">
        <v>4500</v>
      </c>
      <c r="J3" s="2" t="n">
        <v>750</v>
      </c>
      <c r="K3" s="2" t="n">
        <v>0</v>
      </c>
      <c r="L3" s="2" t="n">
        <v>0</v>
      </c>
      <c r="M3" s="2" t="n">
        <v>2</v>
      </c>
      <c r="N3" s="2" t="n">
        <v>8</v>
      </c>
      <c r="Q3" s="2">
        <f>E3*F3*G3*(1+H3)</f>
        <v/>
      </c>
      <c r="R3" s="2">
        <f>Q3*I3</f>
        <v/>
      </c>
      <c r="S3" s="2">
        <f>Q3*J3</f>
        <v/>
      </c>
      <c r="T3" s="2">
        <f>R3*(1-K3-L3)*M3/1000000</f>
        <v/>
      </c>
      <c r="U3" s="2">
        <f>S3*N3/1000000</f>
        <v/>
      </c>
      <c r="V3" s="2">
        <f>R3*K3*O3/1000000</f>
        <v/>
      </c>
      <c r="W3" s="2">
        <f>R3*L3*P3/1000000</f>
        <v/>
      </c>
      <c r="X3" s="2">
        <f>SUM(T3:W3)</f>
        <v/>
      </c>
      <c r="Y3" t="inlineStr">
        <is>
          <t>Complete</t>
        </is>
      </c>
      <c r="Z3" t="inlineStr">
        <is>
          <t>daily_users</t>
        </is>
      </c>
      <c r="AA3" s="2" t="n">
        <v>1</v>
      </c>
      <c r="AB3" s="2" t="n">
        <v>2</v>
      </c>
      <c r="AC3" s="2" t="n">
        <v>30</v>
      </c>
      <c r="AD3" s="2" t="n">
        <v>0</v>
      </c>
      <c r="AE3" s="2" t="n">
        <v>1</v>
      </c>
      <c r="AF3" t="inlineStr">
        <is>
          <t>medium</t>
        </is>
      </c>
      <c r="AG3" s="2">
        <f>R3*(1-K3-L3)</f>
        <v/>
      </c>
      <c r="AH3" s="2">
        <f>R3*K3</f>
        <v/>
      </c>
      <c r="AI3" s="2">
        <f>R3*L3</f>
        <v/>
      </c>
      <c r="AJ3" s="2" t="n">
        <v>4</v>
      </c>
      <c r="AK3" s="2" t="n">
        <v>1</v>
      </c>
      <c r="AM3" t="inlineStr"/>
    </row>
    <row r="4">
      <c r="A4" t="inlineStr">
        <is>
          <t>Low</t>
        </is>
      </c>
      <c r="B4" t="inlineStr">
        <is>
          <t>High agents</t>
        </is>
      </c>
      <c r="C4" t="inlineStr">
        <is>
          <t>Aggregate</t>
        </is>
      </c>
      <c r="D4" t="inlineStr">
        <is>
          <t>Fixture A</t>
        </is>
      </c>
      <c r="E4" s="2" t="n">
        <v>1</v>
      </c>
      <c r="F4" s="2">
        <f>IF(Z4="daily_users",AA4*AB4*AC4,AD4)*AE4</f>
        <v/>
      </c>
      <c r="G4" s="2">
        <f>AJ4*AK4</f>
        <v/>
      </c>
      <c r="H4" s="2" t="n">
        <v>0.1</v>
      </c>
      <c r="I4" s="2" t="n">
        <v>11250</v>
      </c>
      <c r="J4" s="2" t="n">
        <v>1500</v>
      </c>
      <c r="K4" s="2" t="n">
        <v>0</v>
      </c>
      <c r="L4" s="2" t="n">
        <v>0</v>
      </c>
      <c r="M4" s="2" t="n">
        <v>2</v>
      </c>
      <c r="N4" s="2" t="n">
        <v>8</v>
      </c>
      <c r="Q4" s="2">
        <f>E4*F4*G4*(1+H4)</f>
        <v/>
      </c>
      <c r="R4" s="2">
        <f>Q4*I4</f>
        <v/>
      </c>
      <c r="S4" s="2">
        <f>Q4*J4</f>
        <v/>
      </c>
      <c r="T4" s="2">
        <f>R4*(1-K4-L4)*M4/1000000</f>
        <v/>
      </c>
      <c r="U4" s="2">
        <f>S4*N4/1000000</f>
        <v/>
      </c>
      <c r="V4" s="2">
        <f>R4*K4*O4/1000000</f>
        <v/>
      </c>
      <c r="W4" s="2">
        <f>R4*L4*P4/1000000</f>
        <v/>
      </c>
      <c r="X4" s="2">
        <f>SUM(T4:W4)</f>
        <v/>
      </c>
      <c r="Y4" t="inlineStr">
        <is>
          <t>Complete</t>
        </is>
      </c>
      <c r="Z4" t="inlineStr">
        <is>
          <t>daily_users</t>
        </is>
      </c>
      <c r="AA4" s="2" t="n">
        <v>4</v>
      </c>
      <c r="AB4" s="2" t="n">
        <v>0.5</v>
      </c>
      <c r="AC4" s="2" t="n">
        <v>30</v>
      </c>
      <c r="AD4" s="2" t="n">
        <v>0</v>
      </c>
      <c r="AE4" s="2" t="n">
        <v>1</v>
      </c>
      <c r="AF4" t="inlineStr">
        <is>
          <t>high</t>
        </is>
      </c>
      <c r="AG4" s="2">
        <f>R4*(1-K4-L4)</f>
        <v/>
      </c>
      <c r="AH4" s="2">
        <f>R4*K4</f>
        <v/>
      </c>
      <c r="AI4" s="2">
        <f>R4*L4</f>
        <v/>
      </c>
      <c r="AJ4" s="2" t="n">
        <v>10</v>
      </c>
      <c r="AK4" s="2" t="n">
        <v>1</v>
      </c>
      <c r="AM4" t="inlineStr"/>
    </row>
    <row r="5">
      <c r="A5" t="inlineStr">
        <is>
          <t>Expected</t>
        </is>
      </c>
      <c r="B5" t="inlineStr">
        <is>
          <t>Simple agents</t>
        </is>
      </c>
      <c r="C5" t="inlineStr">
        <is>
          <t>Aggregate</t>
        </is>
      </c>
      <c r="D5" t="inlineStr">
        <is>
          <t>Fixture A</t>
        </is>
      </c>
      <c r="E5" s="2" t="n">
        <v>2</v>
      </c>
      <c r="F5" s="2">
        <f>IF(Z5="daily_users",AA5*AB5*AC5,AD5)*AE5</f>
        <v/>
      </c>
      <c r="G5" s="2">
        <f>AJ5*AK5</f>
        <v/>
      </c>
      <c r="H5" s="2" t="n">
        <v>0.02</v>
      </c>
      <c r="I5" s="2" t="n">
        <v>2000</v>
      </c>
      <c r="J5" s="2" t="n">
        <v>500</v>
      </c>
      <c r="K5" s="2" t="n">
        <v>0</v>
      </c>
      <c r="L5" s="2" t="n">
        <v>0</v>
      </c>
      <c r="M5" s="2" t="n">
        <v>2</v>
      </c>
      <c r="N5" s="2" t="n">
        <v>8</v>
      </c>
      <c r="Q5" s="2">
        <f>E5*F5*G5*(1+H5)</f>
        <v/>
      </c>
      <c r="R5" s="2">
        <f>Q5*I5</f>
        <v/>
      </c>
      <c r="S5" s="2">
        <f>Q5*J5</f>
        <v/>
      </c>
      <c r="T5" s="2">
        <f>R5*(1-K5-L5)*M5/1000000</f>
        <v/>
      </c>
      <c r="U5" s="2">
        <f>S5*N5/1000000</f>
        <v/>
      </c>
      <c r="V5" s="2">
        <f>R5*K5*O5/1000000</f>
        <v/>
      </c>
      <c r="W5" s="2">
        <f>R5*L5*P5/1000000</f>
        <v/>
      </c>
      <c r="X5" s="2">
        <f>SUM(T5:W5)</f>
        <v/>
      </c>
      <c r="Y5" t="inlineStr">
        <is>
          <t>Complete</t>
        </is>
      </c>
      <c r="Z5" t="inlineStr">
        <is>
          <t>daily_users</t>
        </is>
      </c>
      <c r="AA5" s="2" t="n">
        <v>2</v>
      </c>
      <c r="AB5" s="2" t="n">
        <v>3</v>
      </c>
      <c r="AC5" s="2" t="n">
        <v>30</v>
      </c>
      <c r="AD5" s="2" t="n">
        <v>0</v>
      </c>
      <c r="AE5" s="2" t="n">
        <v>1</v>
      </c>
      <c r="AF5" t="inlineStr">
        <is>
          <t>simple</t>
        </is>
      </c>
      <c r="AG5" s="2">
        <f>R5*(1-K5-L5)</f>
        <v/>
      </c>
      <c r="AH5" s="2">
        <f>R5*K5</f>
        <v/>
      </c>
      <c r="AI5" s="2">
        <f>R5*L5</f>
        <v/>
      </c>
      <c r="AJ5" s="2" t="n">
        <v>1</v>
      </c>
      <c r="AK5" s="2" t="n">
        <v>1</v>
      </c>
      <c r="AM5" t="inlineStr"/>
    </row>
    <row r="6">
      <c r="A6" t="inlineStr">
        <is>
          <t>Expected</t>
        </is>
      </c>
      <c r="B6" t="inlineStr">
        <is>
          <t>Medium agents</t>
        </is>
      </c>
      <c r="C6" t="inlineStr">
        <is>
          <t>Aggregate</t>
        </is>
      </c>
      <c r="D6" t="inlineStr">
        <is>
          <t>Fixture A</t>
        </is>
      </c>
      <c r="E6" s="2" t="n">
        <v>1</v>
      </c>
      <c r="F6" s="2">
        <f>IF(Z6="daily_users",AA6*AB6*AC6,AD6)*AE6</f>
        <v/>
      </c>
      <c r="G6" s="2">
        <f>AJ6*AK6</f>
        <v/>
      </c>
      <c r="H6" s="2" t="n">
        <v>0.05</v>
      </c>
      <c r="I6" s="2" t="n">
        <v>6000</v>
      </c>
      <c r="J6" s="2" t="n">
        <v>1000</v>
      </c>
      <c r="K6" s="2" t="n">
        <v>0</v>
      </c>
      <c r="L6" s="2" t="n">
        <v>0</v>
      </c>
      <c r="M6" s="2" t="n">
        <v>2</v>
      </c>
      <c r="N6" s="2" t="n">
        <v>8</v>
      </c>
      <c r="Q6" s="2">
        <f>E6*F6*G6*(1+H6)</f>
        <v/>
      </c>
      <c r="R6" s="2">
        <f>Q6*I6</f>
        <v/>
      </c>
      <c r="S6" s="2">
        <f>Q6*J6</f>
        <v/>
      </c>
      <c r="T6" s="2">
        <f>R6*(1-K6-L6)*M6/1000000</f>
        <v/>
      </c>
      <c r="U6" s="2">
        <f>S6*N6/1000000</f>
        <v/>
      </c>
      <c r="V6" s="2">
        <f>R6*K6*O6/1000000</f>
        <v/>
      </c>
      <c r="W6" s="2">
        <f>R6*L6*P6/1000000</f>
        <v/>
      </c>
      <c r="X6" s="2">
        <f>SUM(T6:W6)</f>
        <v/>
      </c>
      <c r="Y6" t="inlineStr">
        <is>
          <t>Complete</t>
        </is>
      </c>
      <c r="Z6" t="inlineStr">
        <is>
          <t>daily_users</t>
        </is>
      </c>
      <c r="AA6" s="2" t="n">
        <v>1</v>
      </c>
      <c r="AB6" s="2" t="n">
        <v>2</v>
      </c>
      <c r="AC6" s="2" t="n">
        <v>30</v>
      </c>
      <c r="AD6" s="2" t="n">
        <v>0</v>
      </c>
      <c r="AE6" s="2" t="n">
        <v>1</v>
      </c>
      <c r="AF6" t="inlineStr">
        <is>
          <t>medium</t>
        </is>
      </c>
      <c r="AG6" s="2">
        <f>R6*(1-K6-L6)</f>
        <v/>
      </c>
      <c r="AH6" s="2">
        <f>R6*K6</f>
        <v/>
      </c>
      <c r="AI6" s="2">
        <f>R6*L6</f>
        <v/>
      </c>
      <c r="AJ6" s="2" t="n">
        <v>4</v>
      </c>
      <c r="AK6" s="2" t="n">
        <v>1</v>
      </c>
      <c r="AM6" t="inlineStr"/>
    </row>
    <row r="7">
      <c r="A7" t="inlineStr">
        <is>
          <t>Expected</t>
        </is>
      </c>
      <c r="B7" t="inlineStr">
        <is>
          <t>High agents</t>
        </is>
      </c>
      <c r="C7" t="inlineStr">
        <is>
          <t>Aggregate</t>
        </is>
      </c>
      <c r="D7" t="inlineStr">
        <is>
          <t>Fixture A</t>
        </is>
      </c>
      <c r="E7" s="2" t="n">
        <v>1</v>
      </c>
      <c r="F7" s="2">
        <f>IF(Z7="daily_users",AA7*AB7*AC7,AD7)*AE7</f>
        <v/>
      </c>
      <c r="G7" s="2">
        <f>AJ7*AK7</f>
        <v/>
      </c>
      <c r="H7" s="2" t="n">
        <v>0.1</v>
      </c>
      <c r="I7" s="2" t="n">
        <v>15000</v>
      </c>
      <c r="J7" s="2" t="n">
        <v>2000</v>
      </c>
      <c r="K7" s="2" t="n">
        <v>0</v>
      </c>
      <c r="L7" s="2" t="n">
        <v>0</v>
      </c>
      <c r="M7" s="2" t="n">
        <v>2</v>
      </c>
      <c r="N7" s="2" t="n">
        <v>8</v>
      </c>
      <c r="Q7" s="2">
        <f>E7*F7*G7*(1+H7)</f>
        <v/>
      </c>
      <c r="R7" s="2">
        <f>Q7*I7</f>
        <v/>
      </c>
      <c r="S7" s="2">
        <f>Q7*J7</f>
        <v/>
      </c>
      <c r="T7" s="2">
        <f>R7*(1-K7-L7)*M7/1000000</f>
        <v/>
      </c>
      <c r="U7" s="2">
        <f>S7*N7/1000000</f>
        <v/>
      </c>
      <c r="V7" s="2">
        <f>R7*K7*O7/1000000</f>
        <v/>
      </c>
      <c r="W7" s="2">
        <f>R7*L7*P7/1000000</f>
        <v/>
      </c>
      <c r="X7" s="2">
        <f>SUM(T7:W7)</f>
        <v/>
      </c>
      <c r="Y7" t="inlineStr">
        <is>
          <t>Complete</t>
        </is>
      </c>
      <c r="Z7" t="inlineStr">
        <is>
          <t>daily_users</t>
        </is>
      </c>
      <c r="AA7" s="2" t="n">
        <v>4</v>
      </c>
      <c r="AB7" s="2" t="n">
        <v>0.5</v>
      </c>
      <c r="AC7" s="2" t="n">
        <v>30</v>
      </c>
      <c r="AD7" s="2" t="n">
        <v>0</v>
      </c>
      <c r="AE7" s="2" t="n">
        <v>1</v>
      </c>
      <c r="AF7" t="inlineStr">
        <is>
          <t>high</t>
        </is>
      </c>
      <c r="AG7" s="2">
        <f>R7*(1-K7-L7)</f>
        <v/>
      </c>
      <c r="AH7" s="2">
        <f>R7*K7</f>
        <v/>
      </c>
      <c r="AI7" s="2">
        <f>R7*L7</f>
        <v/>
      </c>
      <c r="AJ7" s="2" t="n">
        <v>10</v>
      </c>
      <c r="AK7" s="2" t="n">
        <v>1</v>
      </c>
      <c r="AM7" t="inlineStr"/>
    </row>
    <row r="8">
      <c r="A8" t="inlineStr">
        <is>
          <t>High</t>
        </is>
      </c>
      <c r="B8" t="inlineStr">
        <is>
          <t>Simple agents</t>
        </is>
      </c>
      <c r="C8" t="inlineStr">
        <is>
          <t>Aggregate</t>
        </is>
      </c>
      <c r="D8" t="inlineStr">
        <is>
          <t>Fixture A</t>
        </is>
      </c>
      <c r="E8" s="2" t="n">
        <v>2</v>
      </c>
      <c r="F8" s="2">
        <f>IF(Z8="daily_users",AA8*AB8*AC8,AD8)*AE8</f>
        <v/>
      </c>
      <c r="G8" s="2">
        <f>AJ8*AK8</f>
        <v/>
      </c>
      <c r="H8" s="2" t="n">
        <v>0.02</v>
      </c>
      <c r="I8" s="2" t="n">
        <v>3000</v>
      </c>
      <c r="J8" s="2" t="n">
        <v>750</v>
      </c>
      <c r="K8" s="2" t="n">
        <v>0</v>
      </c>
      <c r="L8" s="2" t="n">
        <v>0</v>
      </c>
      <c r="M8" s="2" t="n">
        <v>2</v>
      </c>
      <c r="N8" s="2" t="n">
        <v>8</v>
      </c>
      <c r="Q8" s="2">
        <f>E8*F8*G8*(1+H8)</f>
        <v/>
      </c>
      <c r="R8" s="2">
        <f>Q8*I8</f>
        <v/>
      </c>
      <c r="S8" s="2">
        <f>Q8*J8</f>
        <v/>
      </c>
      <c r="T8" s="2">
        <f>R8*(1-K8-L8)*M8/1000000</f>
        <v/>
      </c>
      <c r="U8" s="2">
        <f>S8*N8/1000000</f>
        <v/>
      </c>
      <c r="V8" s="2">
        <f>R8*K8*O8/1000000</f>
        <v/>
      </c>
      <c r="W8" s="2">
        <f>R8*L8*P8/1000000</f>
        <v/>
      </c>
      <c r="X8" s="2">
        <f>SUM(T8:W8)</f>
        <v/>
      </c>
      <c r="Y8" t="inlineStr">
        <is>
          <t>Complete</t>
        </is>
      </c>
      <c r="Z8" t="inlineStr">
        <is>
          <t>daily_users</t>
        </is>
      </c>
      <c r="AA8" s="2" t="n">
        <v>2</v>
      </c>
      <c r="AB8" s="2" t="n">
        <v>3</v>
      </c>
      <c r="AC8" s="2" t="n">
        <v>30</v>
      </c>
      <c r="AD8" s="2" t="n">
        <v>0</v>
      </c>
      <c r="AE8" s="2" t="n">
        <v>1</v>
      </c>
      <c r="AF8" t="inlineStr">
        <is>
          <t>simple</t>
        </is>
      </c>
      <c r="AG8" s="2">
        <f>R8*(1-K8-L8)</f>
        <v/>
      </c>
      <c r="AH8" s="2">
        <f>R8*K8</f>
        <v/>
      </c>
      <c r="AI8" s="2">
        <f>R8*L8</f>
        <v/>
      </c>
      <c r="AJ8" s="2" t="n">
        <v>1</v>
      </c>
      <c r="AK8" s="2" t="n">
        <v>1</v>
      </c>
      <c r="AM8" t="inlineStr"/>
    </row>
    <row r="9">
      <c r="A9" t="inlineStr">
        <is>
          <t>High</t>
        </is>
      </c>
      <c r="B9" t="inlineStr">
        <is>
          <t>Medium agents</t>
        </is>
      </c>
      <c r="C9" t="inlineStr">
        <is>
          <t>Aggregate</t>
        </is>
      </c>
      <c r="D9" t="inlineStr">
        <is>
          <t>Fixture A</t>
        </is>
      </c>
      <c r="E9" s="2" t="n">
        <v>1</v>
      </c>
      <c r="F9" s="2">
        <f>IF(Z9="daily_users",AA9*AB9*AC9,AD9)*AE9</f>
        <v/>
      </c>
      <c r="G9" s="2">
        <f>AJ9*AK9</f>
        <v/>
      </c>
      <c r="H9" s="2" t="n">
        <v>0.05</v>
      </c>
      <c r="I9" s="2" t="n">
        <v>9000</v>
      </c>
      <c r="J9" s="2" t="n">
        <v>1500</v>
      </c>
      <c r="K9" s="2" t="n">
        <v>0</v>
      </c>
      <c r="L9" s="2" t="n">
        <v>0</v>
      </c>
      <c r="M9" s="2" t="n">
        <v>2</v>
      </c>
      <c r="N9" s="2" t="n">
        <v>8</v>
      </c>
      <c r="Q9" s="2">
        <f>E9*F9*G9*(1+H9)</f>
        <v/>
      </c>
      <c r="R9" s="2">
        <f>Q9*I9</f>
        <v/>
      </c>
      <c r="S9" s="2">
        <f>Q9*J9</f>
        <v/>
      </c>
      <c r="T9" s="2">
        <f>R9*(1-K9-L9)*M9/1000000</f>
        <v/>
      </c>
      <c r="U9" s="2">
        <f>S9*N9/1000000</f>
        <v/>
      </c>
      <c r="V9" s="2">
        <f>R9*K9*O9/1000000</f>
        <v/>
      </c>
      <c r="W9" s="2">
        <f>R9*L9*P9/1000000</f>
        <v/>
      </c>
      <c r="X9" s="2">
        <f>SUM(T9:W9)</f>
        <v/>
      </c>
      <c r="Y9" t="inlineStr">
        <is>
          <t>Complete</t>
        </is>
      </c>
      <c r="Z9" t="inlineStr">
        <is>
          <t>daily_users</t>
        </is>
      </c>
      <c r="AA9" s="2" t="n">
        <v>1</v>
      </c>
      <c r="AB9" s="2" t="n">
        <v>2</v>
      </c>
      <c r="AC9" s="2" t="n">
        <v>30</v>
      </c>
      <c r="AD9" s="2" t="n">
        <v>0</v>
      </c>
      <c r="AE9" s="2" t="n">
        <v>1</v>
      </c>
      <c r="AF9" t="inlineStr">
        <is>
          <t>medium</t>
        </is>
      </c>
      <c r="AG9" s="2">
        <f>R9*(1-K9-L9)</f>
        <v/>
      </c>
      <c r="AH9" s="2">
        <f>R9*K9</f>
        <v/>
      </c>
      <c r="AI9" s="2">
        <f>R9*L9</f>
        <v/>
      </c>
      <c r="AJ9" s="2" t="n">
        <v>4</v>
      </c>
      <c r="AK9" s="2" t="n">
        <v>1</v>
      </c>
      <c r="AM9" t="inlineStr"/>
    </row>
    <row r="10">
      <c r="A10" t="inlineStr">
        <is>
          <t>High</t>
        </is>
      </c>
      <c r="B10" t="inlineStr">
        <is>
          <t>High agents</t>
        </is>
      </c>
      <c r="C10" t="inlineStr">
        <is>
          <t>Aggregate</t>
        </is>
      </c>
      <c r="D10" t="inlineStr">
        <is>
          <t>Fixture A</t>
        </is>
      </c>
      <c r="E10" s="2" t="n">
        <v>1</v>
      </c>
      <c r="F10" s="2">
        <f>IF(Z10="daily_users",AA10*AB10*AC10,AD10)*AE10</f>
        <v/>
      </c>
      <c r="G10" s="2">
        <f>AJ10*AK10</f>
        <v/>
      </c>
      <c r="H10" s="2" t="n">
        <v>0.1</v>
      </c>
      <c r="I10" s="2" t="n">
        <v>22500</v>
      </c>
      <c r="J10" s="2" t="n">
        <v>3000</v>
      </c>
      <c r="K10" s="2" t="n">
        <v>0</v>
      </c>
      <c r="L10" s="2" t="n">
        <v>0</v>
      </c>
      <c r="M10" s="2" t="n">
        <v>2</v>
      </c>
      <c r="N10" s="2" t="n">
        <v>8</v>
      </c>
      <c r="Q10" s="2">
        <f>E10*F10*G10*(1+H10)</f>
        <v/>
      </c>
      <c r="R10" s="2">
        <f>Q10*I10</f>
        <v/>
      </c>
      <c r="S10" s="2">
        <f>Q10*J10</f>
        <v/>
      </c>
      <c r="T10" s="2">
        <f>R10*(1-K10-L10)*M10/1000000</f>
        <v/>
      </c>
      <c r="U10" s="2">
        <f>S10*N10/1000000</f>
        <v/>
      </c>
      <c r="V10" s="2">
        <f>R10*K10*O10/1000000</f>
        <v/>
      </c>
      <c r="W10" s="2">
        <f>R10*L10*P10/1000000</f>
        <v/>
      </c>
      <c r="X10" s="2">
        <f>SUM(T10:W10)</f>
        <v/>
      </c>
      <c r="Y10" t="inlineStr">
        <is>
          <t>Complete</t>
        </is>
      </c>
      <c r="Z10" t="inlineStr">
        <is>
          <t>daily_users</t>
        </is>
      </c>
      <c r="AA10" s="2" t="n">
        <v>4</v>
      </c>
      <c r="AB10" s="2" t="n">
        <v>0.5</v>
      </c>
      <c r="AC10" s="2" t="n">
        <v>30</v>
      </c>
      <c r="AD10" s="2" t="n">
        <v>0</v>
      </c>
      <c r="AE10" s="2" t="n">
        <v>1</v>
      </c>
      <c r="AF10" t="inlineStr">
        <is>
          <t>high</t>
        </is>
      </c>
      <c r="AG10" s="2">
        <f>R10*(1-K10-L10)</f>
        <v/>
      </c>
      <c r="AH10" s="2">
        <f>R10*K10</f>
        <v/>
      </c>
      <c r="AI10" s="2">
        <f>R10*L10</f>
        <v/>
      </c>
      <c r="AJ10" s="2" t="n">
        <v>10</v>
      </c>
      <c r="AK10" s="2" t="n">
        <v>1</v>
      </c>
      <c r="AM10" t="inlineStr"/>
    </row>
  </sheetData>
  <autoFilter ref="A1:AM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7" customWidth="1" min="10" max="10"/>
    <col width="23" customWidth="1" min="11" max="11"/>
    <col width="16" customWidth="1" min="12" max="12"/>
    <col width="16" customWidth="1" min="13" max="13"/>
    <col width="41" customWidth="1" min="14" max="14"/>
    <col width="16" customWidth="1" min="15" max="15"/>
    <col width="32" customWidth="1" min="16" max="16"/>
    <col width="16" customWidth="1" min="17" max="17"/>
  </cols>
  <sheetData>
    <row r="1" ht="32" customHeight="1">
      <c r="A1" s="1" t="inlineStr">
        <is>
          <t>name</t>
        </is>
      </c>
      <c r="B1" s="1" t="inlineStr">
        <is>
          <t>complexity</t>
        </is>
      </c>
      <c r="C1" s="1" t="inlineStr">
        <is>
          <t>count</t>
        </is>
      </c>
      <c r="D1" s="1" t="inlineStr">
        <is>
          <t>invocations</t>
        </is>
      </c>
      <c r="E1" s="1" t="inlineStr">
        <is>
          <t>model_id</t>
        </is>
      </c>
      <c r="F1" s="1" t="inlineStr">
        <is>
          <t>calls</t>
        </is>
      </c>
      <c r="G1" s="1" t="inlineStr">
        <is>
          <t>input_tokens</t>
        </is>
      </c>
      <c r="H1" s="1" t="inlineStr">
        <is>
          <t>output_tokens</t>
        </is>
      </c>
      <c r="I1" s="1" t="inlineStr">
        <is>
          <t>retry_rate</t>
        </is>
      </c>
      <c r="J1" s="1" t="inlineStr">
        <is>
          <t>cache_fraction</t>
        </is>
      </c>
      <c r="K1" s="1" t="inlineStr">
        <is>
          <t>cache_write_fraction</t>
        </is>
      </c>
      <c r="L1" s="1" t="inlineStr">
        <is>
          <t>volume_source</t>
        </is>
      </c>
      <c r="M1" s="1" t="inlineStr">
        <is>
          <t>users_per_day</t>
        </is>
      </c>
      <c r="N1" s="1" t="inlineStr">
        <is>
          <t>invocations_per_user_per_agent_per_day</t>
        </is>
      </c>
      <c r="O1" s="1" t="inlineStr">
        <is>
          <t>agent_id</t>
        </is>
      </c>
      <c r="P1" s="1" t="inlineStr">
        <is>
          <t>business_use_case_description</t>
        </is>
      </c>
      <c r="Q1" s="1" t="inlineStr">
        <is>
          <t>row_id</t>
        </is>
      </c>
    </row>
    <row r="2">
      <c r="A2" t="inlineStr">
        <is>
          <t>Simple agents</t>
        </is>
      </c>
      <c r="B2" t="inlineStr">
        <is>
          <t>simple</t>
        </is>
      </c>
      <c r="C2" s="2" t="n">
        <v>2</v>
      </c>
      <c r="D2" s="2" t="n">
        <v>0</v>
      </c>
      <c r="E2" t="inlineStr">
        <is>
          <t>Fixture A</t>
        </is>
      </c>
      <c r="F2" t="inlineStr"/>
      <c r="G2" t="inlineStr"/>
      <c r="H2" t="inlineStr"/>
      <c r="I2" t="inlineStr"/>
      <c r="J2" t="inlineStr"/>
      <c r="K2" t="inlineStr"/>
      <c r="L2" t="inlineStr">
        <is>
          <t>daily_users</t>
        </is>
      </c>
      <c r="M2" s="2" t="n">
        <v>2</v>
      </c>
      <c r="N2" s="2" t="n">
        <v>3</v>
      </c>
      <c r="O2" t="inlineStr"/>
      <c r="P2" t="inlineStr"/>
      <c r="Q2" t="inlineStr">
        <is>
          <t>3f074641-5c6c-4a4d-8acd-1865e55d8185</t>
        </is>
      </c>
    </row>
    <row r="3">
      <c r="A3" t="inlineStr">
        <is>
          <t>Medium agents</t>
        </is>
      </c>
      <c r="B3" t="inlineStr">
        <is>
          <t>medium</t>
        </is>
      </c>
      <c r="C3" s="2" t="n">
        <v>1</v>
      </c>
      <c r="D3" s="2" t="n">
        <v>0</v>
      </c>
      <c r="E3" t="inlineStr">
        <is>
          <t>Fixture A</t>
        </is>
      </c>
      <c r="F3" t="inlineStr"/>
      <c r="G3" t="inlineStr"/>
      <c r="H3" t="inlineStr"/>
      <c r="I3" t="inlineStr"/>
      <c r="J3" t="inlineStr"/>
      <c r="K3" t="inlineStr"/>
      <c r="L3" t="inlineStr">
        <is>
          <t>daily_users</t>
        </is>
      </c>
      <c r="M3" s="2" t="n">
        <v>1</v>
      </c>
      <c r="N3" s="2" t="n">
        <v>2</v>
      </c>
      <c r="O3" t="inlineStr">
        <is>
          <t>5c56ae84-b001-4a7b-ac1c-8619c8be0b63</t>
        </is>
      </c>
      <c r="P3" t="inlineStr">
        <is>
          <t>Business use case pending description</t>
        </is>
      </c>
      <c r="Q3" t="inlineStr">
        <is>
          <t>3de664c3-aa54-4523-a3f5-1831dc6647e5</t>
        </is>
      </c>
    </row>
    <row r="4">
      <c r="A4" t="inlineStr">
        <is>
          <t>High agents</t>
        </is>
      </c>
      <c r="B4" t="inlineStr">
        <is>
          <t>high</t>
        </is>
      </c>
      <c r="C4" s="2" t="n">
        <v>1</v>
      </c>
      <c r="D4" s="2" t="n">
        <v>0</v>
      </c>
      <c r="E4" t="inlineStr">
        <is>
          <t>Fixture A</t>
        </is>
      </c>
      <c r="F4" t="inlineStr"/>
      <c r="G4" t="inlineStr"/>
      <c r="H4" t="inlineStr"/>
      <c r="I4" t="inlineStr"/>
      <c r="J4" t="inlineStr"/>
      <c r="K4" t="inlineStr"/>
      <c r="L4" t="inlineStr">
        <is>
          <t>daily_users</t>
        </is>
      </c>
      <c r="M4" s="2" t="n">
        <v>4</v>
      </c>
      <c r="N4" s="2" t="n">
        <v>0.5</v>
      </c>
      <c r="O4" t="inlineStr">
        <is>
          <t>0c488d7c-ff87-47f5-8b9d-71779ffa6c24</t>
        </is>
      </c>
      <c r="P4" t="inlineStr">
        <is>
          <t>Business use case pending description</t>
        </is>
      </c>
      <c r="Q4" t="inlineStr">
        <is>
          <t>f8de12f2-1475-4f21-84e9-99b3d67ac1c7</t>
        </is>
      </c>
    </row>
  </sheetData>
  <autoFilter ref="A1:Q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24" customWidth="1" min="6" max="6"/>
    <col width="16" customWidth="1" min="7" max="7"/>
    <col width="16" customWidth="1" min="8" max="8"/>
    <col width="16" customWidth="1" min="9" max="9"/>
    <col width="16" customWidth="1" min="10" max="10"/>
    <col width="17" customWidth="1" min="11" max="11"/>
    <col width="16" customWidth="1" min="12" max="12"/>
    <col width="16" customWidth="1" min="13" max="13"/>
    <col width="16" customWidth="1" min="14" max="14"/>
    <col width="16" customWidth="1" min="15" max="15"/>
    <col width="17" customWidth="1" min="16" max="16"/>
    <col width="23" customWidth="1" min="17" max="17"/>
    <col width="28" customWidth="1" min="18" max="18"/>
    <col width="29" customWidth="1" min="19" max="19"/>
    <col width="18" customWidth="1" min="20" max="20"/>
    <col width="19" customWidth="1" min="21" max="21"/>
  </cols>
  <sheetData>
    <row r="1" ht="32" customHeight="1">
      <c r="A1" s="1" t="inlineStr">
        <is>
          <t>row_id</t>
        </is>
      </c>
      <c r="B1" s="1" t="inlineStr">
        <is>
          <t>step_id</t>
        </is>
      </c>
      <c r="C1" s="1" t="inlineStr">
        <is>
          <t>step_name</t>
        </is>
      </c>
      <c r="D1" s="1" t="inlineStr">
        <is>
          <t>order</t>
        </is>
      </c>
      <c r="E1" s="1" t="inlineStr">
        <is>
          <t>action_type</t>
        </is>
      </c>
      <c r="F1" s="1" t="inlineStr">
        <is>
          <t>execution_probability</t>
        </is>
      </c>
      <c r="G1" s="1" t="inlineStr">
        <is>
          <t>complexity</t>
        </is>
      </c>
      <c r="H1" s="1" t="inlineStr">
        <is>
          <t>option_id</t>
        </is>
      </c>
      <c r="I1" s="1" t="inlineStr">
        <is>
          <t>probability</t>
        </is>
      </c>
      <c r="J1" s="1" t="inlineStr">
        <is>
          <t>model_id</t>
        </is>
      </c>
      <c r="K1" s="1" t="inlineStr">
        <is>
          <t>child_agent_id</t>
        </is>
      </c>
      <c r="L1" s="1" t="inlineStr">
        <is>
          <t>calls</t>
        </is>
      </c>
      <c r="M1" s="1" t="inlineStr">
        <is>
          <t>input_tokens</t>
        </is>
      </c>
      <c r="N1" s="1" t="inlineStr">
        <is>
          <t>output_tokens</t>
        </is>
      </c>
      <c r="O1" s="1" t="inlineStr">
        <is>
          <t>retry_rate</t>
        </is>
      </c>
      <c r="P1" s="1" t="inlineStr">
        <is>
          <t>cache_fraction</t>
        </is>
      </c>
      <c r="Q1" s="1" t="inlineStr">
        <is>
          <t>cache_write_fraction</t>
        </is>
      </c>
      <c r="R1" s="1" t="inlineStr">
        <is>
          <t>low_execution_probability</t>
        </is>
      </c>
      <c r="S1" s="1" t="inlineStr">
        <is>
          <t>high_execution_probability</t>
        </is>
      </c>
      <c r="T1" s="1" t="inlineStr">
        <is>
          <t>low_probability</t>
        </is>
      </c>
      <c r="U1" s="1" t="inlineStr">
        <is>
          <t>high_probability</t>
        </is>
      </c>
    </row>
  </sheetData>
  <autoFilter ref="A1:U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9" customWidth="1" min="5" max="5"/>
    <col width="16" customWidth="1" min="6" max="6"/>
    <col width="16" customWidth="1" min="7" max="7"/>
    <col width="24" customWidth="1" min="8" max="8"/>
    <col width="37" customWidth="1" min="9" max="9"/>
    <col width="39" customWidth="1" min="10" max="10"/>
    <col width="45" customWidth="1" min="11" max="11"/>
    <col width="16" customWidth="1" min="12" max="12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Step</t>
        </is>
      </c>
      <c r="D1" s="1" t="inlineStr">
        <is>
          <t>Action</t>
        </is>
      </c>
      <c r="E1" s="1" t="inlineStr">
        <is>
          <t>Step probability</t>
        </is>
      </c>
      <c r="F1" s="1" t="inlineStr">
        <is>
          <t>Option ID</t>
        </is>
      </c>
      <c r="G1" s="1" t="inlineStr">
        <is>
          <t>Target</t>
        </is>
      </c>
      <c r="H1" s="1" t="inlineStr">
        <is>
          <t>Selection probability</t>
        </is>
      </c>
      <c r="I1" s="1" t="inlineStr">
        <is>
          <t>Option USD/execution (precomputed)</t>
        </is>
      </c>
      <c r="J1" s="1" t="inlineStr">
        <is>
          <t>Weighted USD/execution (precomputed)</t>
        </is>
      </c>
      <c r="K1" s="1" t="inlineStr">
        <is>
          <t>Step USD/month incl children (precomputed)</t>
        </is>
      </c>
      <c r="L1" s="1" t="inlineStr">
        <is>
          <t>Status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32" customWidth="1" min="5" max="5"/>
  </cols>
  <sheetData>
    <row r="1" ht="32" customHeight="1">
      <c r="A1" s="1" t="inlineStr">
        <is>
          <t>Source ID</t>
        </is>
      </c>
      <c r="B1" s="1" t="inlineStr">
        <is>
          <t>Source name</t>
        </is>
      </c>
      <c r="C1" s="1" t="inlineStr">
        <is>
          <t>Agent ID</t>
        </is>
      </c>
      <c r="D1" s="1" t="inlineStr">
        <is>
          <t>Agent name</t>
        </is>
      </c>
      <c r="E1" s="1" t="inlineStr">
        <is>
          <t>Business use case description</t>
        </is>
      </c>
    </row>
    <row r="2">
      <c r="A2" t="inlineStr">
        <is>
          <t>3f074641-5c6c-4a4d-8acd-1865e55d8185</t>
        </is>
      </c>
      <c r="B2" t="inlineStr">
        <is>
          <t>Simple agents</t>
        </is>
      </c>
      <c r="C2" t="inlineStr">
        <is>
          <t>f712e756-39c3-4bb8-995a-93bc71e78d5a</t>
        </is>
      </c>
      <c r="D2" t="inlineStr">
        <is>
          <t>Simple agent 1</t>
        </is>
      </c>
      <c r="E2" t="inlineStr">
        <is>
          <t>Business use case pending description</t>
        </is>
      </c>
    </row>
    <row r="3">
      <c r="A3" t="inlineStr">
        <is>
          <t>3f074641-5c6c-4a4d-8acd-1865e55d8185</t>
        </is>
      </c>
      <c r="B3" t="inlineStr">
        <is>
          <t>Simple agents</t>
        </is>
      </c>
      <c r="C3" t="inlineStr">
        <is>
          <t>4ebe7919-aebd-46e7-a6ad-50d732a0606b</t>
        </is>
      </c>
      <c r="D3" t="inlineStr">
        <is>
          <t>Simple agent 2</t>
        </is>
      </c>
      <c r="E3" t="inlineStr">
        <is>
          <t>Business use case pending description</t>
        </is>
      </c>
    </row>
    <row r="4">
      <c r="A4" t="inlineStr">
        <is>
          <t>3de664c3-aa54-4523-a3f5-1831dc6647e5</t>
        </is>
      </c>
      <c r="B4" t="inlineStr">
        <is>
          <t>Medium agents</t>
        </is>
      </c>
      <c r="C4" t="inlineStr">
        <is>
          <t>5c56ae84-b001-4a7b-ac1c-8619c8be0b63</t>
        </is>
      </c>
      <c r="D4" t="inlineStr">
        <is>
          <t>Medium agent 1</t>
        </is>
      </c>
      <c r="E4" t="inlineStr">
        <is>
          <t>Business use case pending description</t>
        </is>
      </c>
    </row>
    <row r="5">
      <c r="A5" t="inlineStr">
        <is>
          <t>f8de12f2-1475-4f21-84e9-99b3d67ac1c7</t>
        </is>
      </c>
      <c r="B5" t="inlineStr">
        <is>
          <t>High agents</t>
        </is>
      </c>
      <c r="C5" t="inlineStr">
        <is>
          <t>0c488d7c-ff87-47f5-8b9d-71779ffa6c24</t>
        </is>
      </c>
      <c r="D5" t="inlineStr">
        <is>
          <t>High agent 1</t>
        </is>
      </c>
      <c r="E5" t="inlineStr">
        <is>
          <t>Business use case pending description</t>
        </is>
      </c>
    </row>
  </sheetData>
  <autoFilter ref="A1:E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6" customWidth="1" min="5" max="5"/>
    <col width="41" customWidth="1" min="6" max="6"/>
    <col width="26" customWidth="1" min="7" max="7"/>
    <col width="41" customWidth="1" min="8" max="8"/>
    <col width="38" customWidth="1" min="9" max="9"/>
    <col width="39" customWidth="1" min="10" max="10"/>
    <col width="16" customWidth="1" min="11" max="11"/>
    <col width="32" customWidth="1" min="12" max="12"/>
  </cols>
  <sheetData>
    <row r="1" ht="32" customHeight="1">
      <c r="A1" s="1" t="inlineStr">
        <is>
          <t>Agent</t>
        </is>
      </c>
      <c r="B1" s="1" t="inlineStr">
        <is>
          <t>Complexity</t>
        </is>
      </c>
      <c r="C1" s="1" t="inlineStr">
        <is>
          <t>Agent count</t>
        </is>
      </c>
      <c r="D1" s="1" t="inlineStr">
        <is>
          <t>Volume source</t>
        </is>
      </c>
      <c r="E1" s="1" t="inlineStr">
        <is>
          <t>Users per agent per day</t>
        </is>
      </c>
      <c r="F1" s="1" t="inlineStr">
        <is>
          <t>Invocations per user per agent per day</t>
        </is>
      </c>
      <c r="G1" s="1" t="inlineStr">
        <is>
          <t>Planning days per month</t>
        </is>
      </c>
      <c r="H1" s="1" t="inlineStr">
        <is>
          <t>Manual invocations per agent per month</t>
        </is>
      </c>
      <c r="I1" s="1" t="inlineStr">
        <is>
          <t>Total monthly invocations per agent</t>
        </is>
      </c>
      <c r="J1" s="1" t="inlineStr">
        <is>
          <t>Total monthly invocations all agents</t>
        </is>
      </c>
      <c r="K1" s="1" t="inlineStr">
        <is>
          <t>Agent row ID</t>
        </is>
      </c>
      <c r="L1" s="1" t="inlineStr">
        <is>
          <t>Previous direct volume source</t>
        </is>
      </c>
    </row>
    <row r="2">
      <c r="A2" t="inlineStr">
        <is>
          <t>Simple agents</t>
        </is>
      </c>
      <c r="B2" t="inlineStr">
        <is>
          <t>simple</t>
        </is>
      </c>
      <c r="C2" s="2" t="n">
        <v>2</v>
      </c>
      <c r="D2" t="inlineStr">
        <is>
          <t>daily_users</t>
        </is>
      </c>
      <c r="E2" s="2" t="n">
        <v>2</v>
      </c>
      <c r="F2" s="2" t="n">
        <v>3</v>
      </c>
      <c r="G2" s="2" t="n">
        <v>30</v>
      </c>
      <c r="H2" s="2" t="n">
        <v>0</v>
      </c>
      <c r="I2" s="2">
        <f>IF(D2="daily_users",E2*F2*G2,H2)</f>
        <v/>
      </c>
      <c r="J2" s="2">
        <f>C2*I2</f>
        <v/>
      </c>
      <c r="K2" t="inlineStr">
        <is>
          <t>3f074641-5c6c-4a4d-8acd-1865e55d8185</t>
        </is>
      </c>
    </row>
    <row r="3">
      <c r="A3" t="inlineStr">
        <is>
          <t>Medium agents</t>
        </is>
      </c>
      <c r="B3" t="inlineStr">
        <is>
          <t>medium</t>
        </is>
      </c>
      <c r="C3" s="2" t="n">
        <v>1</v>
      </c>
      <c r="D3" t="inlineStr">
        <is>
          <t>daily_users</t>
        </is>
      </c>
      <c r="E3" s="2" t="n">
        <v>1</v>
      </c>
      <c r="F3" s="2" t="n">
        <v>2</v>
      </c>
      <c r="G3" s="2" t="n">
        <v>30</v>
      </c>
      <c r="H3" s="2" t="n">
        <v>0</v>
      </c>
      <c r="I3" s="2">
        <f>IF(D3="daily_users",E3*F3*G3,H3)</f>
        <v/>
      </c>
      <c r="J3" s="2">
        <f>C3*I3</f>
        <v/>
      </c>
      <c r="K3" t="inlineStr">
        <is>
          <t>3de664c3-aa54-4523-a3f5-1831dc6647e5</t>
        </is>
      </c>
    </row>
    <row r="4">
      <c r="A4" t="inlineStr">
        <is>
          <t>High agents</t>
        </is>
      </c>
      <c r="B4" t="inlineStr">
        <is>
          <t>high</t>
        </is>
      </c>
      <c r="C4" s="2" t="n">
        <v>1</v>
      </c>
      <c r="D4" t="inlineStr">
        <is>
          <t>daily_users</t>
        </is>
      </c>
      <c r="E4" s="2" t="n">
        <v>4</v>
      </c>
      <c r="F4" s="2" t="n">
        <v>0.5</v>
      </c>
      <c r="G4" s="2" t="n">
        <v>30</v>
      </c>
      <c r="H4" s="2" t="n">
        <v>0</v>
      </c>
      <c r="I4" s="2">
        <f>IF(D4="daily_users",E4*F4*G4,H4)</f>
        <v/>
      </c>
      <c r="J4" s="2">
        <f>C4*I4</f>
        <v/>
      </c>
      <c r="K4" t="inlineStr">
        <is>
          <t>f8de12f2-1475-4f21-84e9-99b3d67ac1c7</t>
        </is>
      </c>
    </row>
  </sheetData>
  <autoFilter ref="A1:L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4" customWidth="1" min="5" max="5"/>
    <col width="41" customWidth="1" min="6" max="6"/>
    <col width="26" customWidth="1" min="7" max="7"/>
    <col width="16" customWidth="1" min="8" max="8"/>
    <col width="16" customWidth="1" min="9" max="9"/>
    <col width="16" customWidth="1" min="10" max="10"/>
    <col width="16" customWidth="1" min="11" max="11"/>
    <col width="29" customWidth="1" min="12" max="12"/>
  </cols>
  <sheetData>
    <row r="1" ht="32" customHeight="1">
      <c r="A1" s="1" t="inlineStr">
        <is>
          <t>Scenario</t>
        </is>
      </c>
      <c r="B1" s="1" t="inlineStr">
        <is>
          <t>Caller agent</t>
        </is>
      </c>
      <c r="C1" s="1" t="inlineStr">
        <is>
          <t>Child agent</t>
        </is>
      </c>
      <c r="D1" s="1" t="inlineStr">
        <is>
          <t>Caller step</t>
        </is>
      </c>
      <c r="E1" s="1" t="inlineStr">
        <is>
          <t>Selection probability</t>
        </is>
      </c>
      <c r="F1" s="1" t="inlineStr">
        <is>
          <t>Parent invocations/month (precomputed)</t>
        </is>
      </c>
      <c r="G1" s="1" t="inlineStr">
        <is>
          <t>Child invocations/month</t>
        </is>
      </c>
      <c r="H1" s="1" t="inlineStr">
        <is>
          <t>Status</t>
        </is>
      </c>
      <c r="I1" s="1" t="inlineStr">
        <is>
          <t>Link ID</t>
        </is>
      </c>
      <c r="J1" s="1" t="inlineStr">
        <is>
          <t>Parent row ID</t>
        </is>
      </c>
      <c r="K1" s="1" t="inlineStr">
        <is>
          <t>Child row ID</t>
        </is>
      </c>
      <c r="L1" s="1" t="inlineStr">
        <is>
          <t>Step execution probability</t>
        </is>
      </c>
    </row>
  </sheetData>
  <autoFilter ref="A1:L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19" customWidth="1" min="5" max="5"/>
    <col width="19" customWidth="1" min="6" max="6"/>
    <col width="19" customWidth="1" min="7" max="7"/>
    <col width="16" customWidth="1" min="8" max="8"/>
    <col width="16" customWidth="1" min="9" max="9"/>
    <col width="16" customWidth="1" min="10" max="10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Tool</t>
        </is>
      </c>
      <c r="D1" s="1" t="inlineStr">
        <is>
          <t>Monthly invocations</t>
        </is>
      </c>
      <c r="E1" s="1" t="inlineStr">
        <is>
          <t>Step probability</t>
        </is>
      </c>
      <c r="F1" s="1" t="inlineStr">
        <is>
          <t>Tool probability</t>
        </is>
      </c>
      <c r="G1" s="1" t="inlineStr">
        <is>
          <t>Units/invocation</t>
        </is>
      </c>
      <c r="H1" s="1" t="inlineStr">
        <is>
          <t>USD/unit</t>
        </is>
      </c>
      <c r="I1" s="1" t="inlineStr">
        <is>
          <t>Monthly USD</t>
        </is>
      </c>
      <c r="J1" s="1" t="inlineStr">
        <is>
          <t>Step ID</t>
        </is>
      </c>
    </row>
  </sheetData>
  <autoFilter ref="A1:J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20" customWidth="1" min="5" max="5"/>
    <col width="17" customWidth="1" min="6" max="6"/>
    <col width="24" customWidth="1" min="7" max="7"/>
    <col width="16" customWidth="1" min="8" max="8"/>
    <col width="16" customWidth="1" min="9" max="9"/>
    <col width="16" customWidth="1" min="10" max="10"/>
    <col width="27" customWidth="1" min="11" max="11"/>
  </cols>
  <sheetData>
    <row r="1" ht="32" customHeight="1">
      <c r="A1" s="1" t="inlineStr">
        <is>
          <t>Scenario</t>
        </is>
      </c>
      <c r="B1" s="1" t="inlineStr">
        <is>
          <t>Harness type</t>
        </is>
      </c>
      <c r="C1" s="1" t="inlineStr">
        <is>
          <t>Name</t>
        </is>
      </c>
      <c r="D1" s="1" t="inlineStr">
        <is>
          <t>Fixed USD/month</t>
        </is>
      </c>
      <c r="E1" s="1" t="inlineStr">
        <is>
          <t>Invocations/month</t>
        </is>
      </c>
      <c r="F1" s="1" t="inlineStr">
        <is>
          <t>USD/invocation</t>
        </is>
      </c>
      <c r="G1" s="1" t="inlineStr">
        <is>
          <t>Step executions/month</t>
        </is>
      </c>
      <c r="H1" s="1" t="inlineStr">
        <is>
          <t>USD/step</t>
        </is>
      </c>
      <c r="I1" s="1" t="inlineStr">
        <is>
          <t>Monthly USD</t>
        </is>
      </c>
      <c r="J1" s="1" t="inlineStr">
        <is>
          <t>Allocation</t>
        </is>
      </c>
      <c r="K1" s="1" t="inlineStr">
        <is>
          <t>Include in use-case cost</t>
        </is>
      </c>
    </row>
    <row r="2">
      <c r="A2" t="inlineStr">
        <is>
          <t>Low</t>
        </is>
      </c>
      <c r="B2" t="inlineStr">
        <is>
          <t>none</t>
        </is>
      </c>
      <c r="C2" t="inlineStr">
        <is>
          <t>Agent harness</t>
        </is>
      </c>
      <c r="D2" s="2" t="n">
        <v>0</v>
      </c>
      <c r="E2" s="2" t="n">
        <v>480</v>
      </c>
      <c r="F2" s="2" t="n">
        <v>0</v>
      </c>
      <c r="G2" s="2" t="n">
        <v>0</v>
      </c>
      <c r="H2" s="2" t="n">
        <v>0</v>
      </c>
      <c r="I2" s="2">
        <f>IF(B2="none",0,D2+E2*F2+G2*H2)</f>
        <v/>
      </c>
      <c r="J2" t="inlineStr">
        <is>
          <t>by_invocations</t>
        </is>
      </c>
      <c r="K2" s="2" t="b">
        <v>1</v>
      </c>
    </row>
    <row r="3">
      <c r="A3" t="inlineStr">
        <is>
          <t>Expected</t>
        </is>
      </c>
      <c r="B3" t="inlineStr">
        <is>
          <t>none</t>
        </is>
      </c>
      <c r="C3" t="inlineStr">
        <is>
          <t>Agent harness</t>
        </is>
      </c>
      <c r="D3" s="2" t="n">
        <v>0</v>
      </c>
      <c r="E3" s="2" t="n">
        <v>480</v>
      </c>
      <c r="F3" s="2" t="n">
        <v>0</v>
      </c>
      <c r="G3" s="2" t="n">
        <v>0</v>
      </c>
      <c r="H3" s="2" t="n">
        <v>0</v>
      </c>
      <c r="I3" s="2">
        <f>IF(B3="none",0,D3+E3*F3+G3*H3)</f>
        <v/>
      </c>
      <c r="J3" t="inlineStr">
        <is>
          <t>by_invocations</t>
        </is>
      </c>
      <c r="K3" s="2" t="b">
        <v>1</v>
      </c>
    </row>
    <row r="4">
      <c r="A4" t="inlineStr">
        <is>
          <t>High</t>
        </is>
      </c>
      <c r="B4" t="inlineStr">
        <is>
          <t>none</t>
        </is>
      </c>
      <c r="C4" t="inlineStr">
        <is>
          <t>Agent harness</t>
        </is>
      </c>
      <c r="D4" s="2" t="n">
        <v>0</v>
      </c>
      <c r="E4" s="2" t="n">
        <v>480</v>
      </c>
      <c r="F4" s="2" t="n">
        <v>0</v>
      </c>
      <c r="G4" s="2" t="n">
        <v>0</v>
      </c>
      <c r="H4" s="2" t="n">
        <v>0</v>
      </c>
      <c r="I4" s="2">
        <f>IF(B4="none",0,D4+E4*F4+G4*H4)</f>
        <v/>
      </c>
      <c r="J4" t="inlineStr">
        <is>
          <t>by_invocations</t>
        </is>
      </c>
      <c r="K4" s="2" t="b">
        <v>1</v>
      </c>
    </row>
  </sheetData>
  <autoFilter ref="A1:K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24" customWidth="1" min="5" max="5"/>
    <col width="25" customWidth="1" min="6" max="6"/>
    <col width="24" customWidth="1" min="7" max="7"/>
    <col width="16" customWidth="1" min="8" max="8"/>
    <col width="19" customWidth="1" min="9" max="9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Use case</t>
        </is>
      </c>
      <c r="D1" s="1" t="inlineStr">
        <is>
          <t>Monthly completions</t>
        </is>
      </c>
      <c r="E1" s="1" t="inlineStr">
        <is>
          <t>Direct USD/completion</t>
        </is>
      </c>
      <c r="F1" s="1" t="inlineStr">
        <is>
          <t>Harness USD/completion</t>
        </is>
      </c>
      <c r="G1" s="1" t="inlineStr">
        <is>
          <t>Loaded USD/completion</t>
        </is>
      </c>
      <c r="H1" s="1" t="inlineStr">
        <is>
          <t>Status</t>
        </is>
      </c>
      <c r="I1" s="1" t="inlineStr">
        <is>
          <t>Calculation path</t>
        </is>
      </c>
    </row>
    <row r="2">
      <c r="A2" t="inlineStr">
        <is>
          <t>Low</t>
        </is>
      </c>
      <c r="B2" t="inlineStr">
        <is>
          <t>Simple agents</t>
        </is>
      </c>
      <c r="C2" t="inlineStr">
        <is>
          <t>Simple agents</t>
        </is>
      </c>
      <c r="D2" s="2" t="n">
        <v>360</v>
      </c>
      <c r="E2" s="2" t="n">
        <v>0.00612</v>
      </c>
      <c r="F2" s="2" t="n">
        <v>0</v>
      </c>
      <c r="G2" s="2" t="n">
        <v>0.00612</v>
      </c>
      <c r="H2" t="inlineStr">
        <is>
          <t>Complete</t>
        </is>
      </c>
      <c r="I2" t="inlineStr">
        <is>
          <t>Precomputed DAG rollup; inputs and direct calculations in other sheets</t>
        </is>
      </c>
    </row>
    <row r="3">
      <c r="A3" t="inlineStr">
        <is>
          <t>Low</t>
        </is>
      </c>
      <c r="B3" t="inlineStr">
        <is>
          <t>Medium agents</t>
        </is>
      </c>
      <c r="C3" t="inlineStr">
        <is>
          <t>Medium agents</t>
        </is>
      </c>
      <c r="D3" s="2" t="n">
        <v>60</v>
      </c>
      <c r="E3" s="2" t="n">
        <v>0.063</v>
      </c>
      <c r="F3" s="2" t="n">
        <v>0</v>
      </c>
      <c r="G3" s="2" t="n">
        <v>0.063</v>
      </c>
      <c r="H3" t="inlineStr">
        <is>
          <t>Complete</t>
        </is>
      </c>
      <c r="I3" t="inlineStr">
        <is>
          <t>Precomputed DAG rollup; inputs and direct calculations in other sheets</t>
        </is>
      </c>
    </row>
    <row r="4">
      <c r="A4" t="inlineStr">
        <is>
          <t>Low</t>
        </is>
      </c>
      <c r="B4" t="inlineStr">
        <is>
          <t>High agents</t>
        </is>
      </c>
      <c r="C4" t="inlineStr">
        <is>
          <t>High agents</t>
        </is>
      </c>
      <c r="D4" s="2" t="n">
        <v>60</v>
      </c>
      <c r="E4" s="2" t="n">
        <v>0.3795</v>
      </c>
      <c r="F4" s="2" t="n">
        <v>0</v>
      </c>
      <c r="G4" s="2" t="n">
        <v>0.3795</v>
      </c>
      <c r="H4" t="inlineStr">
        <is>
          <t>Complete</t>
        </is>
      </c>
      <c r="I4" t="inlineStr">
        <is>
          <t>Precomputed DAG rollup; inputs and direct calculations in other sheets</t>
        </is>
      </c>
    </row>
    <row r="5">
      <c r="A5" t="inlineStr">
        <is>
          <t>Expected</t>
        </is>
      </c>
      <c r="B5" t="inlineStr">
        <is>
          <t>Simple agents</t>
        </is>
      </c>
      <c r="C5" t="inlineStr">
        <is>
          <t>Simple agents</t>
        </is>
      </c>
      <c r="D5" s="2" t="n">
        <v>360</v>
      </c>
      <c r="E5" s="2" t="n">
        <v>0.008160000000000001</v>
      </c>
      <c r="F5" s="2" t="n">
        <v>0</v>
      </c>
      <c r="G5" s="2" t="n">
        <v>0.008160000000000001</v>
      </c>
      <c r="H5" t="inlineStr">
        <is>
          <t>Complete</t>
        </is>
      </c>
      <c r="I5" t="inlineStr">
        <is>
          <t>Precomputed DAG rollup; inputs and direct calculations in other sheets</t>
        </is>
      </c>
    </row>
    <row r="6">
      <c r="A6" t="inlineStr">
        <is>
          <t>Expected</t>
        </is>
      </c>
      <c r="B6" t="inlineStr">
        <is>
          <t>Medium agents</t>
        </is>
      </c>
      <c r="C6" t="inlineStr">
        <is>
          <t>Medium agents</t>
        </is>
      </c>
      <c r="D6" s="2" t="n">
        <v>60</v>
      </c>
      <c r="E6" s="2" t="n">
        <v>0.08400000000000001</v>
      </c>
      <c r="F6" s="2" t="n">
        <v>0</v>
      </c>
      <c r="G6" s="2" t="n">
        <v>0.08400000000000001</v>
      </c>
      <c r="H6" t="inlineStr">
        <is>
          <t>Complete</t>
        </is>
      </c>
      <c r="I6" t="inlineStr">
        <is>
          <t>Precomputed DAG rollup; inputs and direct calculations in other sheets</t>
        </is>
      </c>
    </row>
    <row r="7">
      <c r="A7" t="inlineStr">
        <is>
          <t>Expected</t>
        </is>
      </c>
      <c r="B7" t="inlineStr">
        <is>
          <t>High agents</t>
        </is>
      </c>
      <c r="C7" t="inlineStr">
        <is>
          <t>High agents</t>
        </is>
      </c>
      <c r="D7" s="2" t="n">
        <v>60</v>
      </c>
      <c r="E7" s="2" t="n">
        <v>0.506</v>
      </c>
      <c r="F7" s="2" t="n">
        <v>0</v>
      </c>
      <c r="G7" s="2" t="n">
        <v>0.506</v>
      </c>
      <c r="H7" t="inlineStr">
        <is>
          <t>Complete</t>
        </is>
      </c>
      <c r="I7" t="inlineStr">
        <is>
          <t>Precomputed DAG rollup; inputs and direct calculations in other sheets</t>
        </is>
      </c>
    </row>
    <row r="8">
      <c r="A8" t="inlineStr">
        <is>
          <t>High</t>
        </is>
      </c>
      <c r="B8" t="inlineStr">
        <is>
          <t>Simple agents</t>
        </is>
      </c>
      <c r="C8" t="inlineStr">
        <is>
          <t>Simple agents</t>
        </is>
      </c>
      <c r="D8" s="2" t="n">
        <v>360</v>
      </c>
      <c r="E8" s="2" t="n">
        <v>0.01224</v>
      </c>
      <c r="F8" s="2" t="n">
        <v>0</v>
      </c>
      <c r="G8" s="2" t="n">
        <v>0.01224</v>
      </c>
      <c r="H8" t="inlineStr">
        <is>
          <t>Complete</t>
        </is>
      </c>
      <c r="I8" t="inlineStr">
        <is>
          <t>Precomputed DAG rollup; inputs and direct calculations in other sheets</t>
        </is>
      </c>
    </row>
    <row r="9">
      <c r="A9" t="inlineStr">
        <is>
          <t>High</t>
        </is>
      </c>
      <c r="B9" t="inlineStr">
        <is>
          <t>Medium agents</t>
        </is>
      </c>
      <c r="C9" t="inlineStr">
        <is>
          <t>Medium agents</t>
        </is>
      </c>
      <c r="D9" s="2" t="n">
        <v>60</v>
      </c>
      <c r="E9" s="2" t="n">
        <v>0.126</v>
      </c>
      <c r="F9" s="2" t="n">
        <v>0</v>
      </c>
      <c r="G9" s="2" t="n">
        <v>0.126</v>
      </c>
      <c r="H9" t="inlineStr">
        <is>
          <t>Complete</t>
        </is>
      </c>
      <c r="I9" t="inlineStr">
        <is>
          <t>Precomputed DAG rollup; inputs and direct calculations in other sheets</t>
        </is>
      </c>
    </row>
    <row r="10">
      <c r="A10" t="inlineStr">
        <is>
          <t>High</t>
        </is>
      </c>
      <c r="B10" t="inlineStr">
        <is>
          <t>High agents</t>
        </is>
      </c>
      <c r="C10" t="inlineStr">
        <is>
          <t>High agents</t>
        </is>
      </c>
      <c r="D10" s="2" t="n">
        <v>60</v>
      </c>
      <c r="E10" s="2" t="n">
        <v>0.759</v>
      </c>
      <c r="F10" s="2" t="n">
        <v>0</v>
      </c>
      <c r="G10" s="2" t="n">
        <v>0.759</v>
      </c>
      <c r="H10" t="inlineStr">
        <is>
          <t>Complete</t>
        </is>
      </c>
      <c r="I10" t="inlineStr">
        <is>
          <t>Precomputed DAG rollup; inputs and direct calculations in other sheets</t>
        </is>
      </c>
    </row>
  </sheetData>
  <autoFilter ref="A1:I1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" customWidth="1" min="2" max="2"/>
  </cols>
  <sheetData>
    <row r="1" ht="32" customHeight="1">
      <c r="A1" s="1" t="inlineStr">
        <is>
          <t>Complexity</t>
        </is>
      </c>
      <c r="B1" s="1" t="inlineStr">
        <is>
          <t>Total monthly invocations all agents</t>
        </is>
      </c>
    </row>
    <row r="2">
      <c r="A2" t="inlineStr">
        <is>
          <t>simple</t>
        </is>
      </c>
      <c r="B2" s="2">
        <f>SUMIF(Volume!B2:B4,A2,Volume!J2:J4)</f>
        <v/>
      </c>
    </row>
    <row r="3">
      <c r="A3" t="inlineStr">
        <is>
          <t>medium</t>
        </is>
      </c>
      <c r="B3" s="2">
        <f>SUMIF(Volume!B2:B4,A3,Volume!J2:J4)</f>
        <v/>
      </c>
    </row>
    <row r="4">
      <c r="A4" t="inlineStr">
        <is>
          <t>high</t>
        </is>
      </c>
      <c r="B4" s="2">
        <f>SUMIF(Volume!B2:B4,A4,Volume!J2:J4)</f>
        <v/>
      </c>
    </row>
  </sheetData>
  <autoFilter ref="A1:B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2" customWidth="1" min="3" max="3"/>
    <col width="21" customWidth="1" min="4" max="4"/>
    <col width="21" customWidth="1" min="5" max="5"/>
    <col width="22" customWidth="1" min="6" max="6"/>
  </cols>
  <sheetData>
    <row r="1" ht="32" customHeight="1">
      <c r="A1" s="1" t="inlineStr">
        <is>
          <t>Complexity</t>
        </is>
      </c>
      <c r="B1" s="1" t="inlineStr">
        <is>
          <t>Input tokens/month</t>
        </is>
      </c>
      <c r="C1" s="1" t="inlineStr">
        <is>
          <t>Output tokens/month</t>
        </is>
      </c>
      <c r="D1" s="1" t="inlineStr">
        <is>
          <t>Total tokens/month</t>
        </is>
      </c>
      <c r="E1" s="1" t="inlineStr">
        <is>
          <t>Average tokens/day</t>
        </is>
      </c>
      <c r="F1" s="1" t="inlineStr">
        <is>
          <t>Planning days/month</t>
        </is>
      </c>
    </row>
    <row r="2">
      <c r="A2" t="inlineStr">
        <is>
          <t>simple</t>
        </is>
      </c>
      <c r="B2" s="2">
        <f>SUMIFS(Calculations!R2:R10,Calculations!A2:A10,"Expected",Calculations!AF2:AF10,A2)</f>
        <v/>
      </c>
      <c r="C2" s="2">
        <f>SUMIFS(Calculations!S2:S10,Calculations!A2:A10,"Expected",Calculations!AF2:AF10,A2)</f>
        <v/>
      </c>
      <c r="D2" s="2">
        <f>B2+C2</f>
        <v/>
      </c>
      <c r="E2" s="2">
        <f>D2/F2</f>
        <v/>
      </c>
      <c r="F2" s="2" t="n">
        <v>30</v>
      </c>
    </row>
    <row r="3">
      <c r="A3" t="inlineStr">
        <is>
          <t>medium</t>
        </is>
      </c>
      <c r="B3" s="2">
        <f>SUMIFS(Calculations!R2:R10,Calculations!A2:A10,"Expected",Calculations!AF2:AF10,A3)</f>
        <v/>
      </c>
      <c r="C3" s="2">
        <f>SUMIFS(Calculations!S2:S10,Calculations!A2:A10,"Expected",Calculations!AF2:AF10,A3)</f>
        <v/>
      </c>
      <c r="D3" s="2">
        <f>B3+C3</f>
        <v/>
      </c>
      <c r="E3" s="2">
        <f>D3/F3</f>
        <v/>
      </c>
      <c r="F3" s="2" t="n">
        <v>30</v>
      </c>
    </row>
    <row r="4">
      <c r="A4" t="inlineStr">
        <is>
          <t>high</t>
        </is>
      </c>
      <c r="B4" s="2">
        <f>SUMIFS(Calculations!R2:R10,Calculations!A2:A10,"Expected",Calculations!AF2:AF10,A4)</f>
        <v/>
      </c>
      <c r="C4" s="2">
        <f>SUMIFS(Calculations!S2:S10,Calculations!A2:A10,"Expected",Calculations!AF2:AF10,A4)</f>
        <v/>
      </c>
      <c r="D4" s="2">
        <f>B4+C4</f>
        <v/>
      </c>
      <c r="E4" s="2">
        <f>D4/F4</f>
        <v/>
      </c>
      <c r="F4" s="2" t="n">
        <v>30</v>
      </c>
    </row>
  </sheetData>
  <autoFilter ref="A1:F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3" customWidth="1" min="4" max="4"/>
    <col width="24" customWidth="1" min="5" max="5"/>
    <col width="16" customWidth="1" min="6" max="6"/>
    <col width="21" customWidth="1" min="7" max="7"/>
    <col width="21" customWidth="1" min="8" max="8"/>
    <col width="22" customWidth="1" min="9" max="9"/>
  </cols>
  <sheetData>
    <row r="1" ht="32" customHeight="1">
      <c r="A1" s="1" t="inlineStr">
        <is>
          <t>Complexity</t>
        </is>
      </c>
      <c r="B1" s="1" t="inlineStr">
        <is>
          <t>Token type</t>
        </is>
      </c>
      <c r="C1" s="1" t="inlineStr">
        <is>
          <t>Tokens/month</t>
        </is>
      </c>
      <c r="D1" s="1" t="inlineStr">
        <is>
          <t>Known cost USD/month</t>
        </is>
      </c>
      <c r="E1" s="1" t="inlineStr">
        <is>
          <t>Blended USD/1M tokens</t>
        </is>
      </c>
      <c r="F1" s="1" t="inlineStr">
        <is>
          <t>Status</t>
        </is>
      </c>
      <c r="G1" s="1" t="inlineStr">
        <is>
          <t>Average tokens/day</t>
        </is>
      </c>
      <c r="H1" s="1" t="inlineStr">
        <is>
          <t>Known cost USD/day</t>
        </is>
      </c>
      <c r="I1" s="1" t="inlineStr">
        <is>
          <t>Planning days/month</t>
        </is>
      </c>
    </row>
    <row r="2">
      <c r="A2" t="inlineStr">
        <is>
          <t>simple</t>
        </is>
      </c>
      <c r="B2" t="inlineStr">
        <is>
          <t>Uncached input</t>
        </is>
      </c>
      <c r="C2" s="2">
        <f>SUMIFS(Calculations!AG2:AG10,Calculations!A2:A10,"Expected",Calculations!AF2:AF10,A2)</f>
        <v/>
      </c>
      <c r="D2" s="2">
        <f>SUMIFS(Calculations!T2:T10,Calculations!A2:A10,"Expected",Calculations!AF2:AF10,A2)</f>
        <v/>
      </c>
      <c r="E2" s="2">
        <f>IF(C2=0,"",D2*1000000/C2)</f>
        <v/>
      </c>
      <c r="F2" t="inlineStr">
        <is>
          <t>Complete</t>
        </is>
      </c>
      <c r="G2" s="2">
        <f>C2/I2</f>
        <v/>
      </c>
      <c r="H2" s="2">
        <f>D2/I2</f>
        <v/>
      </c>
      <c r="I2" s="2" t="n">
        <v>30</v>
      </c>
    </row>
    <row r="3">
      <c r="A3" t="inlineStr">
        <is>
          <t>simple</t>
        </is>
      </c>
      <c r="B3" t="inlineStr">
        <is>
          <t>Cached input read</t>
        </is>
      </c>
      <c r="C3" s="2">
        <f>SUMIFS(Calculations!AH2:AH10,Calculations!A2:A10,"Expected",Calculations!AF2:AF10,A3)</f>
        <v/>
      </c>
      <c r="D3" s="2">
        <f>SUMIFS(Calculations!V2:V10,Calculations!A2:A10,"Expected",Calculations!AF2:AF10,A3)</f>
        <v/>
      </c>
      <c r="E3" s="2">
        <f>IF(C3=0,"",D3*1000000/C3)</f>
        <v/>
      </c>
      <c r="F3" t="inlineStr">
        <is>
          <t>Complete</t>
        </is>
      </c>
      <c r="G3" s="2">
        <f>C3/I3</f>
        <v/>
      </c>
      <c r="H3" s="2">
        <f>D3/I3</f>
        <v/>
      </c>
      <c r="I3" s="2" t="n">
        <v>30</v>
      </c>
    </row>
    <row r="4">
      <c r="A4" t="inlineStr">
        <is>
          <t>simple</t>
        </is>
      </c>
      <c r="B4" t="inlineStr">
        <is>
          <t>Input cache write</t>
        </is>
      </c>
      <c r="C4" s="2">
        <f>SUMIFS(Calculations!AI2:AI10,Calculations!A2:A10,"Expected",Calculations!AF2:AF10,A4)</f>
        <v/>
      </c>
      <c r="D4" s="2">
        <f>SUMIFS(Calculations!W2:W10,Calculations!A2:A10,"Expected",Calculations!AF2:AF10,A4)</f>
        <v/>
      </c>
      <c r="E4" s="2">
        <f>IF(C4=0,"",D4*1000000/C4)</f>
        <v/>
      </c>
      <c r="F4" t="inlineStr">
        <is>
          <t>Complete</t>
        </is>
      </c>
      <c r="G4" s="2">
        <f>C4/I4</f>
        <v/>
      </c>
      <c r="H4" s="2">
        <f>D4/I4</f>
        <v/>
      </c>
      <c r="I4" s="2" t="n">
        <v>30</v>
      </c>
    </row>
    <row r="5">
      <c r="A5" t="inlineStr">
        <is>
          <t>simple</t>
        </is>
      </c>
      <c r="B5" t="inlineStr">
        <is>
          <t>Output incl. reasoning</t>
        </is>
      </c>
      <c r="C5" s="2">
        <f>SUMIFS(Calculations!S2:S10,Calculations!A2:A10,"Expected",Calculations!AF2:AF10,A5)</f>
        <v/>
      </c>
      <c r="D5" s="2">
        <f>SUMIFS(Calculations!U2:U10,Calculations!A2:A10,"Expected",Calculations!AF2:AF10,A5)</f>
        <v/>
      </c>
      <c r="E5" s="2">
        <f>IF(C5=0,"",D5*1000000/C5)</f>
        <v/>
      </c>
      <c r="F5" t="inlineStr">
        <is>
          <t>Complete</t>
        </is>
      </c>
      <c r="G5" s="2">
        <f>C5/I5</f>
        <v/>
      </c>
      <c r="H5" s="2">
        <f>D5/I5</f>
        <v/>
      </c>
      <c r="I5" s="2" t="n">
        <v>30</v>
      </c>
    </row>
    <row r="6">
      <c r="A6" t="inlineStr">
        <is>
          <t>simple</t>
        </is>
      </c>
      <c r="B6" t="inlineStr">
        <is>
          <t>Total</t>
        </is>
      </c>
      <c r="C6" s="2">
        <f>SUM(C2:C5)</f>
        <v/>
      </c>
      <c r="D6" s="2">
        <f>SUM(D2:D5)</f>
        <v/>
      </c>
      <c r="F6" t="inlineStr">
        <is>
          <t>Complete</t>
        </is>
      </c>
      <c r="G6" s="2">
        <f>C6/I6</f>
        <v/>
      </c>
      <c r="H6" s="2">
        <f>D6/I6</f>
        <v/>
      </c>
      <c r="I6" s="2" t="n">
        <v>30</v>
      </c>
    </row>
    <row r="7">
      <c r="A7" t="inlineStr">
        <is>
          <t>medium</t>
        </is>
      </c>
      <c r="B7" t="inlineStr">
        <is>
          <t>Uncached input</t>
        </is>
      </c>
      <c r="C7" s="2">
        <f>SUMIFS(Calculations!AG2:AG10,Calculations!A2:A10,"Expected",Calculations!AF2:AF10,A7)</f>
        <v/>
      </c>
      <c r="D7" s="2">
        <f>SUMIFS(Calculations!T2:T10,Calculations!A2:A10,"Expected",Calculations!AF2:AF10,A7)</f>
        <v/>
      </c>
      <c r="E7" s="2">
        <f>IF(C7=0,"",D7*1000000/C7)</f>
        <v/>
      </c>
      <c r="F7" t="inlineStr">
        <is>
          <t>Complete</t>
        </is>
      </c>
      <c r="G7" s="2">
        <f>C7/I7</f>
        <v/>
      </c>
      <c r="H7" s="2">
        <f>D7/I7</f>
        <v/>
      </c>
      <c r="I7" s="2" t="n">
        <v>30</v>
      </c>
    </row>
    <row r="8">
      <c r="A8" t="inlineStr">
        <is>
          <t>medium</t>
        </is>
      </c>
      <c r="B8" t="inlineStr">
        <is>
          <t>Cached input read</t>
        </is>
      </c>
      <c r="C8" s="2">
        <f>SUMIFS(Calculations!AH2:AH10,Calculations!A2:A10,"Expected",Calculations!AF2:AF10,A8)</f>
        <v/>
      </c>
      <c r="D8" s="2">
        <f>SUMIFS(Calculations!V2:V10,Calculations!A2:A10,"Expected",Calculations!AF2:AF10,A8)</f>
        <v/>
      </c>
      <c r="E8" s="2">
        <f>IF(C8=0,"",D8*1000000/C8)</f>
        <v/>
      </c>
      <c r="F8" t="inlineStr">
        <is>
          <t>Complete</t>
        </is>
      </c>
      <c r="G8" s="2">
        <f>C8/I8</f>
        <v/>
      </c>
      <c r="H8" s="2">
        <f>D8/I8</f>
        <v/>
      </c>
      <c r="I8" s="2" t="n">
        <v>30</v>
      </c>
    </row>
    <row r="9">
      <c r="A9" t="inlineStr">
        <is>
          <t>medium</t>
        </is>
      </c>
      <c r="B9" t="inlineStr">
        <is>
          <t>Input cache write</t>
        </is>
      </c>
      <c r="C9" s="2">
        <f>SUMIFS(Calculations!AI2:AI10,Calculations!A2:A10,"Expected",Calculations!AF2:AF10,A9)</f>
        <v/>
      </c>
      <c r="D9" s="2">
        <f>SUMIFS(Calculations!W2:W10,Calculations!A2:A10,"Expected",Calculations!AF2:AF10,A9)</f>
        <v/>
      </c>
      <c r="E9" s="2">
        <f>IF(C9=0,"",D9*1000000/C9)</f>
        <v/>
      </c>
      <c r="F9" t="inlineStr">
        <is>
          <t>Complete</t>
        </is>
      </c>
      <c r="G9" s="2">
        <f>C9/I9</f>
        <v/>
      </c>
      <c r="H9" s="2">
        <f>D9/I9</f>
        <v/>
      </c>
      <c r="I9" s="2" t="n">
        <v>30</v>
      </c>
    </row>
    <row r="10">
      <c r="A10" t="inlineStr">
        <is>
          <t>medium</t>
        </is>
      </c>
      <c r="B10" t="inlineStr">
        <is>
          <t>Output incl. reasoning</t>
        </is>
      </c>
      <c r="C10" s="2">
        <f>SUMIFS(Calculations!S2:S10,Calculations!A2:A10,"Expected",Calculations!AF2:AF10,A10)</f>
        <v/>
      </c>
      <c r="D10" s="2">
        <f>SUMIFS(Calculations!U2:U10,Calculations!A2:A10,"Expected",Calculations!AF2:AF10,A10)</f>
        <v/>
      </c>
      <c r="E10" s="2">
        <f>IF(C10=0,"",D10*1000000/C10)</f>
        <v/>
      </c>
      <c r="F10" t="inlineStr">
        <is>
          <t>Complete</t>
        </is>
      </c>
      <c r="G10" s="2">
        <f>C10/I10</f>
        <v/>
      </c>
      <c r="H10" s="2">
        <f>D10/I10</f>
        <v/>
      </c>
      <c r="I10" s="2" t="n">
        <v>30</v>
      </c>
    </row>
    <row r="11">
      <c r="A11" t="inlineStr">
        <is>
          <t>medium</t>
        </is>
      </c>
      <c r="B11" t="inlineStr">
        <is>
          <t>Total</t>
        </is>
      </c>
      <c r="C11" s="2">
        <f>SUM(C7:C10)</f>
        <v/>
      </c>
      <c r="D11" s="2">
        <f>SUM(D7:D10)</f>
        <v/>
      </c>
      <c r="F11" t="inlineStr">
        <is>
          <t>Complete</t>
        </is>
      </c>
      <c r="G11" s="2">
        <f>C11/I11</f>
        <v/>
      </c>
      <c r="H11" s="2">
        <f>D11/I11</f>
        <v/>
      </c>
      <c r="I11" s="2" t="n">
        <v>30</v>
      </c>
    </row>
    <row r="12">
      <c r="A12" t="inlineStr">
        <is>
          <t>high</t>
        </is>
      </c>
      <c r="B12" t="inlineStr">
        <is>
          <t>Uncached input</t>
        </is>
      </c>
      <c r="C12" s="2">
        <f>SUMIFS(Calculations!AG2:AG10,Calculations!A2:A10,"Expected",Calculations!AF2:AF10,A12)</f>
        <v/>
      </c>
      <c r="D12" s="2">
        <f>SUMIFS(Calculations!T2:T10,Calculations!A2:A10,"Expected",Calculations!AF2:AF10,A12)</f>
        <v/>
      </c>
      <c r="E12" s="2">
        <f>IF(C12=0,"",D12*1000000/C12)</f>
        <v/>
      </c>
      <c r="F12" t="inlineStr">
        <is>
          <t>Complete</t>
        </is>
      </c>
      <c r="G12" s="2">
        <f>C12/I12</f>
        <v/>
      </c>
      <c r="H12" s="2">
        <f>D12/I12</f>
        <v/>
      </c>
      <c r="I12" s="2" t="n">
        <v>30</v>
      </c>
    </row>
    <row r="13">
      <c r="A13" t="inlineStr">
        <is>
          <t>high</t>
        </is>
      </c>
      <c r="B13" t="inlineStr">
        <is>
          <t>Cached input read</t>
        </is>
      </c>
      <c r="C13" s="2">
        <f>SUMIFS(Calculations!AH2:AH10,Calculations!A2:A10,"Expected",Calculations!AF2:AF10,A13)</f>
        <v/>
      </c>
      <c r="D13" s="2">
        <f>SUMIFS(Calculations!V2:V10,Calculations!A2:A10,"Expected",Calculations!AF2:AF10,A13)</f>
        <v/>
      </c>
      <c r="E13" s="2">
        <f>IF(C13=0,"",D13*1000000/C13)</f>
        <v/>
      </c>
      <c r="F13" t="inlineStr">
        <is>
          <t>Complete</t>
        </is>
      </c>
      <c r="G13" s="2">
        <f>C13/I13</f>
        <v/>
      </c>
      <c r="H13" s="2">
        <f>D13/I13</f>
        <v/>
      </c>
      <c r="I13" s="2" t="n">
        <v>30</v>
      </c>
    </row>
    <row r="14">
      <c r="A14" t="inlineStr">
        <is>
          <t>high</t>
        </is>
      </c>
      <c r="B14" t="inlineStr">
        <is>
          <t>Input cache write</t>
        </is>
      </c>
      <c r="C14" s="2">
        <f>SUMIFS(Calculations!AI2:AI10,Calculations!A2:A10,"Expected",Calculations!AF2:AF10,A14)</f>
        <v/>
      </c>
      <c r="D14" s="2">
        <f>SUMIFS(Calculations!W2:W10,Calculations!A2:A10,"Expected",Calculations!AF2:AF10,A14)</f>
        <v/>
      </c>
      <c r="E14" s="2">
        <f>IF(C14=0,"",D14*1000000/C14)</f>
        <v/>
      </c>
      <c r="F14" t="inlineStr">
        <is>
          <t>Complete</t>
        </is>
      </c>
      <c r="G14" s="2">
        <f>C14/I14</f>
        <v/>
      </c>
      <c r="H14" s="2">
        <f>D14/I14</f>
        <v/>
      </c>
      <c r="I14" s="2" t="n">
        <v>30</v>
      </c>
    </row>
    <row r="15">
      <c r="A15" t="inlineStr">
        <is>
          <t>high</t>
        </is>
      </c>
      <c r="B15" t="inlineStr">
        <is>
          <t>Output incl. reasoning</t>
        </is>
      </c>
      <c r="C15" s="2">
        <f>SUMIFS(Calculations!S2:S10,Calculations!A2:A10,"Expected",Calculations!AF2:AF10,A15)</f>
        <v/>
      </c>
      <c r="D15" s="2">
        <f>SUMIFS(Calculations!U2:U10,Calculations!A2:A10,"Expected",Calculations!AF2:AF10,A15)</f>
        <v/>
      </c>
      <c r="E15" s="2">
        <f>IF(C15=0,"",D15*1000000/C15)</f>
        <v/>
      </c>
      <c r="F15" t="inlineStr">
        <is>
          <t>Complete</t>
        </is>
      </c>
      <c r="G15" s="2">
        <f>C15/I15</f>
        <v/>
      </c>
      <c r="H15" s="2">
        <f>D15/I15</f>
        <v/>
      </c>
      <c r="I15" s="2" t="n">
        <v>30</v>
      </c>
    </row>
    <row r="16">
      <c r="A16" t="inlineStr">
        <is>
          <t>high</t>
        </is>
      </c>
      <c r="B16" t="inlineStr">
        <is>
          <t>Total</t>
        </is>
      </c>
      <c r="C16" s="2">
        <f>SUM(C12:C15)</f>
        <v/>
      </c>
      <c r="D16" s="2">
        <f>SUM(D12:D15)</f>
        <v/>
      </c>
      <c r="F16" t="inlineStr">
        <is>
          <t>Complete</t>
        </is>
      </c>
      <c r="G16" s="2">
        <f>C16/I16</f>
        <v/>
      </c>
      <c r="H16" s="2">
        <f>D16/I16</f>
        <v/>
      </c>
      <c r="I16" s="2" t="n">
        <v>30</v>
      </c>
    </row>
  </sheetData>
  <autoFilter ref="A1:I16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3" customWidth="1" min="3" max="3"/>
    <col width="22" customWidth="1" min="4" max="4"/>
    <col width="24" customWidth="1" min="5" max="5"/>
    <col width="21" customWidth="1" min="6" max="6"/>
    <col width="29" customWidth="1" min="7" max="7"/>
    <col width="25" customWidth="1" min="8" max="8"/>
    <col width="24" customWidth="1" min="9" max="9"/>
    <col width="23" customWidth="1" min="10" max="10"/>
    <col width="16" customWidth="1" min="11" max="11"/>
  </cols>
  <sheetData>
    <row r="1" ht="32" customHeight="1">
      <c r="A1" s="1" t="inlineStr">
        <is>
          <t>Scenario</t>
        </is>
      </c>
      <c r="B1" s="1" t="inlineStr">
        <is>
          <t>Input tokens/month</t>
        </is>
      </c>
      <c r="C1" s="1" t="inlineStr">
        <is>
          <t>Input cost USD/month</t>
        </is>
      </c>
      <c r="D1" s="1" t="inlineStr">
        <is>
          <t>Output tokens/month</t>
        </is>
      </c>
      <c r="E1" s="1" t="inlineStr">
        <is>
          <t>Output cost USD/month</t>
        </is>
      </c>
      <c r="F1" s="1" t="inlineStr">
        <is>
          <t>Total tokens/month</t>
        </is>
      </c>
      <c r="G1" s="1" t="inlineStr">
        <is>
          <t>Total token cost USD/month</t>
        </is>
      </c>
      <c r="H1" s="1" t="inlineStr">
        <is>
          <t>Harness cost USD/month</t>
        </is>
      </c>
      <c r="I1" s="1" t="inlineStr">
        <is>
          <t>Other costs USD/month</t>
        </is>
      </c>
      <c r="J1" s="1" t="inlineStr">
        <is>
          <t>Total cost USD/month</t>
        </is>
      </c>
      <c r="K1" s="1" t="inlineStr">
        <is>
          <t>Status</t>
        </is>
      </c>
    </row>
    <row r="2">
      <c r="A2" t="inlineStr">
        <is>
          <t>Low</t>
        </is>
      </c>
      <c r="B2" s="2">
        <f>SUMIFS(Calculations!R2:R10,Calculations!A2:A10,A2)</f>
        <v/>
      </c>
      <c r="C2" s="2">
        <f>SUMIFS(Calculations!T2:T10,Calculations!A2:A10,A2)+SUMIFS(Calculations!V2:V10,Calculations!A2:A10,A2)+SUMIFS(Calculations!W2:W10,Calculations!A2:A10,A2)</f>
        <v/>
      </c>
      <c r="D2" s="2">
        <f>SUMIFS(Calculations!S2:S10,Calculations!A2:A10,A2)</f>
        <v/>
      </c>
      <c r="E2" s="2">
        <f>SUMIFS(Calculations!U2:U10,Calculations!A2:A10,A2)</f>
        <v/>
      </c>
      <c r="F2" s="2">
        <f>B2+D2</f>
        <v/>
      </c>
      <c r="G2" s="2">
        <f>C2+E2</f>
        <v/>
      </c>
      <c r="H2" s="2">
        <f>SUMIF(Summary!A2:A4,A2,Summary!J2:J4)</f>
        <v/>
      </c>
      <c r="I2" s="2">
        <f>SUMIF(Summary!A2:A4,A2,Summary!C2:C4)+SUMIF(Summary!A2:A4,A2,Summary!I2:I4)</f>
        <v/>
      </c>
      <c r="J2" s="2">
        <f>SUMIF(Summary!A2:A4,A2,Summary!D2:D4)</f>
        <v/>
      </c>
      <c r="K2" t="inlineStr">
        <is>
          <t>Complete</t>
        </is>
      </c>
    </row>
    <row r="3">
      <c r="A3" t="inlineStr">
        <is>
          <t>Expected</t>
        </is>
      </c>
      <c r="B3" s="2">
        <f>SUMIFS(Calculations!R2:R10,Calculations!A2:A10,A3)</f>
        <v/>
      </c>
      <c r="C3" s="2">
        <f>SUMIFS(Calculations!T2:T10,Calculations!A2:A10,A3)+SUMIFS(Calculations!V2:V10,Calculations!A2:A10,A3)+SUMIFS(Calculations!W2:W10,Calculations!A2:A10,A3)</f>
        <v/>
      </c>
      <c r="D3" s="2">
        <f>SUMIFS(Calculations!S2:S10,Calculations!A2:A10,A3)</f>
        <v/>
      </c>
      <c r="E3" s="2">
        <f>SUMIFS(Calculations!U2:U10,Calculations!A2:A10,A3)</f>
        <v/>
      </c>
      <c r="F3" s="2">
        <f>B3+D3</f>
        <v/>
      </c>
      <c r="G3" s="2">
        <f>C3+E3</f>
        <v/>
      </c>
      <c r="H3" s="2">
        <f>SUMIF(Summary!A2:A4,A3,Summary!J2:J4)</f>
        <v/>
      </c>
      <c r="I3" s="2">
        <f>SUMIF(Summary!A2:A4,A3,Summary!C2:C4)+SUMIF(Summary!A2:A4,A3,Summary!I2:I4)</f>
        <v/>
      </c>
      <c r="J3" s="2">
        <f>SUMIF(Summary!A2:A4,A3,Summary!D2:D4)</f>
        <v/>
      </c>
      <c r="K3" t="inlineStr">
        <is>
          <t>Complete</t>
        </is>
      </c>
    </row>
    <row r="4">
      <c r="A4" t="inlineStr">
        <is>
          <t>High</t>
        </is>
      </c>
      <c r="B4" s="2">
        <f>SUMIFS(Calculations!R2:R10,Calculations!A2:A10,A4)</f>
        <v/>
      </c>
      <c r="C4" s="2">
        <f>SUMIFS(Calculations!T2:T10,Calculations!A2:A10,A4)+SUMIFS(Calculations!V2:V10,Calculations!A2:A10,A4)+SUMIFS(Calculations!W2:W10,Calculations!A2:A10,A4)</f>
        <v/>
      </c>
      <c r="D4" s="2">
        <f>SUMIFS(Calculations!S2:S10,Calculations!A2:A10,A4)</f>
        <v/>
      </c>
      <c r="E4" s="2">
        <f>SUMIFS(Calculations!U2:U10,Calculations!A2:A10,A4)</f>
        <v/>
      </c>
      <c r="F4" s="2">
        <f>B4+D4</f>
        <v/>
      </c>
      <c r="G4" s="2">
        <f>C4+E4</f>
        <v/>
      </c>
      <c r="H4" s="2">
        <f>SUMIF(Summary!A2:A4,A4,Summary!J2:J4)</f>
        <v/>
      </c>
      <c r="I4" s="2">
        <f>SUMIF(Summary!A2:A4,A4,Summary!C2:C4)+SUMIF(Summary!A2:A4,A4,Summary!I2:I4)</f>
        <v/>
      </c>
      <c r="J4" s="2">
        <f>SUMIF(Summary!A2:A4,A4,Summary!D2:D4)</f>
        <v/>
      </c>
      <c r="K4" t="inlineStr">
        <is>
          <t>Complete</t>
        </is>
      </c>
    </row>
  </sheetData>
  <autoFilter ref="A1:K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4" customWidth="1" min="3" max="3"/>
    <col width="22" customWidth="1" min="4" max="4"/>
    <col width="25" customWidth="1" min="5" max="5"/>
    <col width="21" customWidth="1" min="6" max="6"/>
    <col width="22" customWidth="1" min="7" max="7"/>
    <col width="16" customWidth="1" min="8" max="8"/>
  </cols>
  <sheetData>
    <row r="1" ht="32" customHeight="1">
      <c r="A1" s="1" t="inlineStr">
        <is>
          <t>Complexity</t>
        </is>
      </c>
      <c r="B1" s="1" t="inlineStr">
        <is>
          <t>Input tokens/month</t>
        </is>
      </c>
      <c r="C1" s="1" t="inlineStr">
        <is>
          <t>Known input USD/month</t>
        </is>
      </c>
      <c r="D1" s="1" t="inlineStr">
        <is>
          <t>Output tokens/month</t>
        </is>
      </c>
      <c r="E1" s="1" t="inlineStr">
        <is>
          <t>Known output USD/month</t>
        </is>
      </c>
      <c r="F1" s="1" t="inlineStr">
        <is>
          <t>Total tokens/month</t>
        </is>
      </c>
      <c r="G1" s="1" t="inlineStr">
        <is>
          <t>Known LLM USD/month</t>
        </is>
      </c>
      <c r="H1" s="1" t="inlineStr">
        <is>
          <t>Status</t>
        </is>
      </c>
    </row>
    <row r="2">
      <c r="A2" t="inlineStr">
        <is>
          <t>simple</t>
        </is>
      </c>
      <c r="B2" s="2">
        <f>'Category usage'!B2</f>
        <v/>
      </c>
      <c r="C2" s="2">
        <f>SUM('Category costs'!D2:D4)</f>
        <v/>
      </c>
      <c r="D2" s="2">
        <f>'Category usage'!C2</f>
        <v/>
      </c>
      <c r="E2" s="2">
        <f>'Category costs'!D5</f>
        <v/>
      </c>
      <c r="F2" s="2">
        <f>B2+D2</f>
        <v/>
      </c>
      <c r="G2" s="2">
        <f>C2+E2</f>
        <v/>
      </c>
      <c r="H2" t="inlineStr">
        <is>
          <t>Complete</t>
        </is>
      </c>
    </row>
    <row r="3">
      <c r="A3" t="inlineStr">
        <is>
          <t>medium</t>
        </is>
      </c>
      <c r="B3" s="2">
        <f>'Category usage'!B3</f>
        <v/>
      </c>
      <c r="C3" s="2">
        <f>SUM('Category costs'!D7:D9)</f>
        <v/>
      </c>
      <c r="D3" s="2">
        <f>'Category usage'!C3</f>
        <v/>
      </c>
      <c r="E3" s="2">
        <f>'Category costs'!D10</f>
        <v/>
      </c>
      <c r="F3" s="2">
        <f>B3+D3</f>
        <v/>
      </c>
      <c r="G3" s="2">
        <f>C3+E3</f>
        <v/>
      </c>
      <c r="H3" t="inlineStr">
        <is>
          <t>Complete</t>
        </is>
      </c>
    </row>
    <row r="4">
      <c r="A4" t="inlineStr">
        <is>
          <t>high</t>
        </is>
      </c>
      <c r="B4" s="2">
        <f>'Category usage'!B4</f>
        <v/>
      </c>
      <c r="C4" s="2">
        <f>SUM('Category costs'!D12:D14)</f>
        <v/>
      </c>
      <c r="D4" s="2">
        <f>'Category usage'!C4</f>
        <v/>
      </c>
      <c r="E4" s="2">
        <f>'Category costs'!D15</f>
        <v/>
      </c>
      <c r="F4" s="2">
        <f>B4+D4</f>
        <v/>
      </c>
      <c r="G4" s="2">
        <f>C4+E4</f>
        <v/>
      </c>
      <c r="H4" t="inlineStr">
        <is>
          <t>Complete</t>
        </is>
      </c>
    </row>
    <row r="5">
      <c r="A5" t="inlineStr">
        <is>
          <t>Suite total</t>
        </is>
      </c>
      <c r="B5" s="2">
        <f>SUM(B2:B4)</f>
        <v/>
      </c>
      <c r="C5" s="2">
        <f>SUM(C2:C4)</f>
        <v/>
      </c>
      <c r="D5" s="2">
        <f>SUM(D2:D4)</f>
        <v/>
      </c>
      <c r="E5" s="2">
        <f>SUM(E2:E4)</f>
        <v/>
      </c>
      <c r="F5" s="2">
        <f>B5+D5</f>
        <v/>
      </c>
      <c r="G5" s="2">
        <f>C5+E5</f>
        <v/>
      </c>
      <c r="H5" t="inlineStr">
        <is>
          <t>Complete</t>
        </is>
      </c>
    </row>
  </sheetData>
  <autoFilter ref="A1:H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7" customWidth="1" min="6" max="6"/>
    <col width="23" customWidth="1" min="7" max="7"/>
  </cols>
  <sheetData>
    <row r="1" ht="32" customHeight="1">
      <c r="A1" s="1" t="inlineStr">
        <is>
          <t>complexity</t>
        </is>
      </c>
      <c r="B1" s="1" t="inlineStr">
        <is>
          <t>calls</t>
        </is>
      </c>
      <c r="C1" s="1" t="inlineStr">
        <is>
          <t>input_tokens</t>
        </is>
      </c>
      <c r="D1" s="1" t="inlineStr">
        <is>
          <t>output_tokens</t>
        </is>
      </c>
      <c r="E1" s="1" t="inlineStr">
        <is>
          <t>retry_rate</t>
        </is>
      </c>
      <c r="F1" s="1" t="inlineStr">
        <is>
          <t>cache_fraction</t>
        </is>
      </c>
      <c r="G1" s="1" t="inlineStr">
        <is>
          <t>cache_write_fraction</t>
        </is>
      </c>
    </row>
    <row r="2">
      <c r="A2" t="inlineStr">
        <is>
          <t>simple</t>
        </is>
      </c>
      <c r="B2" t="inlineStr">
        <is>
          <t>1</t>
        </is>
      </c>
      <c r="C2" t="inlineStr">
        <is>
          <t>2000</t>
        </is>
      </c>
      <c r="D2" t="inlineStr">
        <is>
          <t>500</t>
        </is>
      </c>
      <c r="E2" t="inlineStr">
        <is>
          <t>0.02</t>
        </is>
      </c>
      <c r="F2" t="inlineStr">
        <is>
          <t>0</t>
        </is>
      </c>
      <c r="G2" t="inlineStr">
        <is>
          <t>0</t>
        </is>
      </c>
    </row>
    <row r="3">
      <c r="A3" t="inlineStr">
        <is>
          <t>medium</t>
        </is>
      </c>
      <c r="B3" t="inlineStr">
        <is>
          <t>4</t>
        </is>
      </c>
      <c r="C3" t="inlineStr">
        <is>
          <t>6000</t>
        </is>
      </c>
      <c r="D3" t="inlineStr">
        <is>
          <t>1000</t>
        </is>
      </c>
      <c r="E3" t="inlineStr">
        <is>
          <t>0.05</t>
        </is>
      </c>
      <c r="F3" t="inlineStr">
        <is>
          <t>0</t>
        </is>
      </c>
      <c r="G3" t="inlineStr">
        <is>
          <t>0</t>
        </is>
      </c>
    </row>
    <row r="4">
      <c r="A4" t="inlineStr">
        <is>
          <t>high</t>
        </is>
      </c>
      <c r="B4" t="inlineStr">
        <is>
          <t>10</t>
        </is>
      </c>
      <c r="C4" t="inlineStr">
        <is>
          <t>15000</t>
        </is>
      </c>
      <c r="D4" t="inlineStr">
        <is>
          <t>2000</t>
        </is>
      </c>
      <c r="E4" t="inlineStr">
        <is>
          <t>0.10</t>
        </is>
      </c>
      <c r="F4" t="inlineStr">
        <is>
          <t>0</t>
        </is>
      </c>
      <c r="G4" t="inlineStr">
        <is>
          <t>0</t>
        </is>
      </c>
    </row>
  </sheetData>
  <autoFilter ref="A1:G4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2" customHeight="1">
      <c r="A1" s="1" t="inlineStr">
        <is>
          <t>name</t>
        </is>
      </c>
      <c r="B1" s="1" t="inlineStr">
        <is>
          <t>volume_factor</t>
        </is>
      </c>
      <c r="C1" s="1" t="inlineStr">
        <is>
          <t>calls_factor</t>
        </is>
      </c>
      <c r="D1" s="1" t="inlineStr">
        <is>
          <t>input_factor</t>
        </is>
      </c>
      <c r="E1" s="1" t="inlineStr">
        <is>
          <t>output_factor</t>
        </is>
      </c>
      <c r="F1" s="1" t="inlineStr">
        <is>
          <t>retry_factor</t>
        </is>
      </c>
      <c r="G1" s="1" t="inlineStr">
        <is>
          <t>model_id</t>
        </is>
      </c>
    </row>
    <row r="2">
      <c r="A2" t="inlineStr">
        <is>
          <t>Low</t>
        </is>
      </c>
      <c r="B2" t="inlineStr">
        <is>
          <t>1</t>
        </is>
      </c>
      <c r="C2" t="inlineStr">
        <is>
          <t>1</t>
        </is>
      </c>
      <c r="D2" t="inlineStr">
        <is>
          <t>0.75</t>
        </is>
      </c>
      <c r="E2" t="inlineStr">
        <is>
          <t>0.75</t>
        </is>
      </c>
      <c r="F2" t="inlineStr">
        <is>
          <t>1</t>
        </is>
      </c>
    </row>
    <row r="3">
      <c r="A3" t="inlineStr">
        <is>
          <t>Expected</t>
        </is>
      </c>
      <c r="B3" t="inlineStr">
        <is>
          <t>1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</row>
    <row r="4">
      <c r="A4" t="inlineStr">
        <is>
          <t>High</t>
        </is>
      </c>
      <c r="B4" t="inlineStr">
        <is>
          <t>1</t>
        </is>
      </c>
      <c r="C4" t="inlineStr">
        <is>
          <t>1</t>
        </is>
      </c>
      <c r="D4" t="inlineStr">
        <is>
          <t>1.5</t>
        </is>
      </c>
      <c r="E4" t="inlineStr">
        <is>
          <t>1.5</t>
        </is>
      </c>
      <c r="F4" t="inlineStr">
        <is>
          <t>1</t>
        </is>
      </c>
    </row>
  </sheetData>
  <autoFilter ref="A1:G4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 ht="32" customHeight="1">
      <c r="A1" s="1" t="inlineStr">
        <is>
          <t>No items</t>
        </is>
      </c>
    </row>
  </sheetData>
  <autoFilter ref="A1:A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29" customWidth="1" min="4" max="4"/>
    <col width="33" customWidth="1" min="5" max="5"/>
    <col width="34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24" customWidth="1" min="16" max="16"/>
    <col width="16" customWidth="1" min="17" max="17"/>
    <col width="20" customWidth="1" min="18" max="18"/>
  </cols>
  <sheetData>
    <row r="1" ht="32" customHeight="1">
      <c r="A1" s="1" t="inlineStr">
        <is>
          <t>Model ID</t>
        </is>
      </c>
      <c r="B1" s="1" t="inlineStr">
        <is>
          <t>Provider</t>
        </is>
      </c>
      <c r="C1" s="1" t="inlineStr">
        <is>
          <t>Input original currency/M</t>
        </is>
      </c>
      <c r="D1" s="1" t="inlineStr">
        <is>
          <t>Output original currency/M</t>
        </is>
      </c>
      <c r="E1" s="1" t="inlineStr">
        <is>
          <t>Cache read original currency/M</t>
        </is>
      </c>
      <c r="F1" s="1" t="inlineStr">
        <is>
          <t>Cache write original currency/M</t>
        </is>
      </c>
      <c r="G1" s="1" t="inlineStr">
        <is>
          <t>Source</t>
        </is>
      </c>
      <c r="H1" s="1" t="inlineStr">
        <is>
          <t>Retrieved at</t>
        </is>
      </c>
      <c r="I1" s="1" t="inlineStr">
        <is>
          <t>Custom</t>
        </is>
      </c>
      <c r="J1" s="1" t="inlineStr">
        <is>
          <t>Tier details</t>
        </is>
      </c>
      <c r="K1" s="1" t="inlineStr">
        <is>
          <t>Unsupported</t>
        </is>
      </c>
      <c r="L1" s="1" t="inlineStr">
        <is>
          <t>Source type</t>
        </is>
      </c>
      <c r="M1" s="1" t="inlineStr">
        <is>
          <t>Channel</t>
        </is>
      </c>
      <c r="N1" s="1" t="inlineStr">
        <is>
          <t>Region</t>
        </is>
      </c>
      <c r="O1" s="1" t="inlineStr">
        <is>
          <t>Original currency</t>
        </is>
      </c>
      <c r="P1" s="1" t="inlineStr">
        <is>
          <t>USD per currency unit</t>
        </is>
      </c>
      <c r="Q1" s="1" t="inlineStr">
        <is>
          <t>FX source</t>
        </is>
      </c>
      <c r="R1" s="1" t="inlineStr">
        <is>
          <t>FX retrieval date</t>
        </is>
      </c>
    </row>
    <row r="2">
      <c r="A2" t="inlineStr">
        <is>
          <t>Fixture A</t>
        </is>
      </c>
      <c r="B2" t="inlineStr">
        <is>
          <t>Custom</t>
        </is>
      </c>
      <c r="C2" s="2" t="n">
        <v>2</v>
      </c>
      <c r="D2" s="2" t="n">
        <v>8</v>
      </c>
      <c r="G2" t="inlineStr">
        <is>
          <t>Architect-supplied custom rates</t>
        </is>
      </c>
      <c r="H2" t="inlineStr">
        <is>
          <t>2026-10-05T16:23:39.012Z</t>
        </is>
      </c>
      <c r="I2" s="2" t="b">
        <v>1</v>
      </c>
      <c r="J2" t="inlineStr"/>
      <c r="K2" t="inlineStr"/>
      <c r="L2" t="inlineStr">
        <is>
          <t>custom</t>
        </is>
      </c>
      <c r="M2" t="inlineStr"/>
      <c r="N2" t="inlineStr"/>
      <c r="O2" t="inlineStr">
        <is>
          <t>USD</t>
        </is>
      </c>
      <c r="P2" s="2" t="n">
        <v>1</v>
      </c>
      <c r="Q2" t="inlineStr"/>
      <c r="R2" t="inlineStr"/>
    </row>
  </sheetData>
  <autoFilter ref="A1:R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32" customHeight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Estimate</t>
        </is>
      </c>
      <c r="B2" t="inlineStr">
        <is>
          <t>Daily volume fixture</t>
        </is>
      </c>
    </row>
    <row r="3">
      <c r="A3" t="inlineStr">
        <is>
          <t>Notes</t>
        </is>
      </c>
      <c r="B3" t="inlineStr"/>
    </row>
    <row r="4">
      <c r="A4" t="inlineStr">
        <is>
          <t>Currency</t>
        </is>
      </c>
      <c r="B4" t="inlineStr">
        <is>
          <t>USD</t>
        </is>
      </c>
    </row>
    <row r="5">
      <c r="A5" t="inlineStr">
        <is>
          <t>Calculation editing</t>
        </is>
      </c>
      <c r="B5" t="inlineStr">
        <is>
          <t>Edit numeric inputs in Calculations to recalculate costs. For direct-volume rows, column F derives scenario monthly volume from columns Z–AE using a 30-day planning month. For derived rows, column F is the graph result precomputed by the app; edit links or upstream volume in the app and re-export. Profiles, Scenarios, Agents and Pricing document the snapshot; editing those sheets does not propagate to Calculations.</t>
        </is>
      </c>
    </row>
    <row r="6">
      <c r="A6" t="inlineStr">
        <is>
          <t>Volume and category totals</t>
        </is>
      </c>
      <c r="B6" t="inlineStr">
        <is>
          <t>Volume derives direct baseline invocations and records app-precomputed derived invocations. Category totals sums the Volume sheet by complexity. These totals exclude scenario volume multipliers; Calculations contains scenario-effective volumes.</t>
        </is>
      </c>
    </row>
    <row r="7">
      <c r="A7" t="inlineStr">
        <is>
          <t>Agent links</t>
        </is>
      </c>
      <c r="B7" t="inlineStr">
        <is>
          <t>Agent links shows effective Low/Expected/High selection and step execution probabilities and child contributions (one invocation per selected target). Parent totals are precomputed in topological order by the app; changing edges or parent totals in this workbook does not update derived rows in Calculations or Volume. Re-export from the app for a revised graph. Derived rows in Agents cannot be reimported without rebuilding links in the app.</t>
        </is>
      </c>
    </row>
    <row r="8">
      <c r="A8" t="inlineStr">
        <is>
          <t>Category token usage</t>
        </is>
      </c>
      <c r="B8" t="inlineStr">
        <is>
          <t>Category usage sums Expected-scenario input and output tokens from Calculations, including normal calls and extra attempts. Cached input is part of input usage, not an extra category; billable reasoning is included in output. Average daily tokens divide monthly totals by 30 planning days.</t>
        </is>
      </c>
    </row>
    <row r="9">
      <c r="A9" t="inlineStr">
        <is>
          <t>Category token costs</t>
        </is>
      </c>
      <c r="B9" t="inlineStr">
        <is>
          <t>Category costs splits Expected-scenario tokens into uncached input, cached reads, cache writes and output. Known monthly costs sum the corresponding Calculations formulas; average daily tokens and costs divide monthly values by 30 planning days. Blended USD/1M is derived from each token-type subtotal when pricing is complete; inspect Calculations for each model's selected rate. Incomplete rows omit unpriced agent lines from costs while retaining their token counts. Re-export after resolving pricing or limits.</t>
        </is>
      </c>
    </row>
    <row r="10">
      <c r="A10" t="inlineStr">
        <is>
          <t>Monthly category summary</t>
        </is>
      </c>
      <c r="B10" t="inlineStr">
        <is>
          <t>Monthly category summary combines Category usage input/output token counts with Category costs. Input cost includes uncached input, cached reads, and cache writes; output includes billable reasoning. The suite row sums category values and reconciles to the Expected LLM amount in Summary. Incomplete values include only fully priced agent lines.</t>
        </is>
      </c>
    </row>
    <row r="11">
      <c r="A11" t="inlineStr">
        <is>
          <t>Tier rates</t>
        </is>
      </c>
      <c r="B11" t="inlineStr">
        <is>
          <t>Rates in Calculations are selected using the exported per-call input size. After crossing a tier threshold, update the applicable rates from Pricing or re-export from the app.</t>
        </is>
      </c>
    </row>
    <row r="12">
      <c r="A12" t="inlineStr">
        <is>
          <t>Partial totals</t>
        </is>
      </c>
      <c r="B12" t="inlineStr">
        <is>
          <t>Incomplete rows have blank costs; summaries are known subtotals, not full budgets.</t>
        </is>
      </c>
    </row>
    <row r="13">
      <c r="A13" t="inlineStr">
        <is>
          <t>Annualization</t>
        </is>
      </c>
      <c r="B13" t="inlineStr">
        <is>
          <t>First year = 12 identical recurring months + one-time items. Additional monthly/one-time values in Summary are editable frozen inputs.</t>
        </is>
      </c>
    </row>
    <row r="14">
      <c r="A14" t="inlineStr">
        <is>
          <t>Scope</t>
        </is>
      </c>
      <c r="B14" t="inlineStr">
        <is>
          <t>Text tokens, including total billable reasoning in output. Cache writes use supplied rates. Per-agent tool rows and the simple suite harness are separate. Cache storage, multimodal charges, and advanced platform billing require additional items/custom rates.</t>
        </is>
      </c>
    </row>
    <row r="15">
      <c r="A15" t="inlineStr">
        <is>
          <t>Scenarios</t>
        </is>
      </c>
      <c r="B15" t="inlineStr">
        <is>
          <t>Planning assumptions, not statistical confidence intervals. Execution fields in Calculations are scenario-effective values.</t>
        </is>
      </c>
    </row>
    <row r="16">
      <c r="A16" t="inlineStr">
        <is>
          <t>Detailed workflows</t>
        </is>
      </c>
      <c r="B16" t="inlineStr">
        <is>
          <t>Each model row appears in Calculations and replaces the aggregate. Column G is raw calls in AJ multiplied by step x model probability in AK; edit AJ/AK to recalculate. Step options preserves model-or-agent choices for import, with row IDs, execution probabilities, and model assumptions. Step actions shows probability-weighted costs including children as precomputed explanatory results; do not add these to suite direct costs. Step options includes Low/High execution probabilities and agent-option probabilities/multiplicities; blank scenario values inherit Expected. Global Scenarios and frozen Pricing remain the current estimate when replacing inventory; use JSON for a complete scenario/pricing backup. Use JSON for a lossless backup.</t>
        </is>
      </c>
    </row>
    <row r="17">
      <c r="A17" t="inlineStr">
        <is>
          <t>Tools, harness, and use cases</t>
        </is>
      </c>
      <c r="B17" t="inlineStr">
        <is>
          <t>Tool costs and Harness feed the Summary recurring total through formulas. Use cases stores the precomputed fully loaded DAG cost per completion; edit the graph in the app and re-export. A fixed harness charge stays in the suite total even at zero workload.</t>
        </is>
      </c>
    </row>
    <row r="18">
      <c r="A18" t="inlineStr">
        <is>
          <t>Original currency and FX</t>
        </is>
      </c>
      <c r="B18" t="inlineStr">
        <is>
          <t>Pricing records original-currency rates and the user-supplied USD conversion snapshot. Calculations stores the selected effective USD rates; changing FX in Pricing does not update Calculations until re-export.</t>
        </is>
      </c>
    </row>
    <row r="19">
      <c r="A19" t="inlineStr">
        <is>
          <t>Version</t>
        </is>
      </c>
      <c r="B19" t="inlineStr">
        <is>
          <t>Schema 10; defaults 1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2026-10-05T16:23:44Z</dcterms:created>
  <dcterms:modified xsi:type="dcterms:W3CDTF">2026-10-05T16:23:44Z</dcterms:modified>
</cp:coreProperties>
</file>