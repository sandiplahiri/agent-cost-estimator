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category summary" sheetId="13" state="visible" r:id="rId13"/>
    <sheet name="Profiles" sheetId="14" state="visible" r:id="rId14"/>
    <sheet name="Scenarios" sheetId="15" state="visible" r:id="rId15"/>
    <sheet name="Additional costs" sheetId="16" state="visible" r:id="rId16"/>
    <sheet name="Pricing" sheetId="17" state="visible" r:id="rId17"/>
    <sheet name="Read me" sheetId="18" state="visible" r:id="rId18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'Agents'!$A$1:$P$4</definedName>
    <definedName name="_xlnm._FilterDatabase" localSheetId="3" hidden="1">'Agent identities'!$A$1:$E$4</definedName>
    <definedName name="_xlnm._FilterDatabase" localSheetId="4" hidden="1">'Volume'!$A$1:$L$4</definedName>
    <definedName name="_xlnm._FilterDatabase" localSheetId="5" hidden="1">'Agent links'!$A$1:$M$1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cases'!$A$1:$I$10</definedName>
    <definedName name="_xlnm._FilterDatabase" localSheetId="9" hidden="1">'Category totals'!$A$1:$B$5</definedName>
    <definedName name="_xlnm._FilterDatabase" localSheetId="10" hidden="1">'Category usage'!$A$1:$F$5</definedName>
    <definedName name="_xlnm._FilterDatabase" localSheetId="11" hidden="1">'Category costs'!$A$1:$I$21</definedName>
    <definedName name="_xlnm._FilterDatabase" localSheetId="12" hidden="1">'Monthly category summary'!$A$1:$H$6</definedName>
    <definedName name="_xlnm._FilterDatabase" localSheetId="13" hidden="1">'Profiles'!$A$1:$G$5</definedName>
    <definedName name="_xlnm._FilterDatabase" localSheetId="14" hidden="1">'Scenarios'!$A$1:$G$4</definedName>
    <definedName name="_xlnm._FilterDatabase" localSheetId="15" hidden="1">'Additional costs'!$A$1:$A$1</definedName>
    <definedName name="_xlnm._FilterDatabase" localSheetId="16" hidden="1">'Pricing'!$A$1:$R$3</definedName>
    <definedName name="_xlnm._FilterDatabase" localSheetId="17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Agent A</t>
        </is>
      </c>
      <c r="C2" t="inlineStr">
        <is>
          <t>Aggregate</t>
        </is>
      </c>
      <c r="D2" t="inlineStr">
        <is>
          <t>Fixture 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Agent B</t>
        </is>
      </c>
      <c r="C3" t="inlineStr">
        <is>
          <t>Aggregate</t>
        </is>
      </c>
      <c r="D3" t="inlineStr">
        <is>
          <t>Fixture B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750</v>
      </c>
      <c r="J3" s="2" t="n">
        <v>75</v>
      </c>
      <c r="K3" s="2" t="n">
        <v>0</v>
      </c>
      <c r="L3" s="2" t="n">
        <v>0</v>
      </c>
      <c r="M3" s="2" t="n">
        <v>1</v>
      </c>
      <c r="N3" s="2" t="n">
        <v>4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1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Unselected agent</t>
        </is>
      </c>
      <c r="C4" t="inlineStr">
        <is>
          <t>Aggregate</t>
        </is>
      </c>
      <c r="D4" t="inlineStr"/>
      <c r="E4" s="2" t="n">
        <v>1</v>
      </c>
      <c r="F4" s="2">
        <f>IF(Z4="daily_users",AA4*AB4*AC4,AD4)*AE4</f>
        <v/>
      </c>
      <c r="G4" s="2">
        <f>AJ4*AK4</f>
        <v/>
      </c>
      <c r="H4" s="2" t="n">
        <v>0</v>
      </c>
      <c r="I4" s="2" t="n">
        <v>750</v>
      </c>
      <c r="J4" s="2" t="n">
        <v>75</v>
      </c>
      <c r="K4" s="2" t="n">
        <v>0</v>
      </c>
      <c r="L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0</v>
      </c>
      <c r="AB4" s="2" t="n">
        <v>1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  <row r="5">
      <c r="A5" t="inlineStr">
        <is>
          <t>Expected</t>
        </is>
      </c>
      <c r="B5" t="inlineStr">
        <is>
          <t>Agent A</t>
        </is>
      </c>
      <c r="C5" t="inlineStr">
        <is>
          <t>Aggregate</t>
        </is>
      </c>
      <c r="D5" t="inlineStr">
        <is>
          <t>Fixture A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1000</v>
      </c>
      <c r="J5" s="2" t="n">
        <v>100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1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M5" t="inlineStr"/>
    </row>
    <row r="6">
      <c r="A6" t="inlineStr">
        <is>
          <t>Expected</t>
        </is>
      </c>
      <c r="B6" t="inlineStr">
        <is>
          <t>Agent B</t>
        </is>
      </c>
      <c r="C6" t="inlineStr">
        <is>
          <t>Aggregate</t>
        </is>
      </c>
      <c r="D6" t="inlineStr">
        <is>
          <t>Fixture B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1000</v>
      </c>
      <c r="J6" s="2" t="n">
        <v>100</v>
      </c>
      <c r="K6" s="2" t="n">
        <v>0</v>
      </c>
      <c r="L6" s="2" t="n">
        <v>0</v>
      </c>
      <c r="M6" s="2" t="n">
        <v>1</v>
      </c>
      <c r="N6" s="2" t="n">
        <v>4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1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M6" t="inlineStr"/>
    </row>
    <row r="7">
      <c r="A7" t="inlineStr">
        <is>
          <t>Expected</t>
        </is>
      </c>
      <c r="B7" t="inlineStr">
        <is>
          <t>Unselected agent</t>
        </is>
      </c>
      <c r="C7" t="inlineStr">
        <is>
          <t>Aggregate</t>
        </is>
      </c>
      <c r="D7" t="inlineStr"/>
      <c r="E7" s="2" t="n">
        <v>1</v>
      </c>
      <c r="F7" s="2">
        <f>IF(Z7="daily_users",AA7*AB7*AC7,AD7)*AE7</f>
        <v/>
      </c>
      <c r="G7" s="2">
        <f>AJ7*AK7</f>
        <v/>
      </c>
      <c r="H7" s="2" t="n">
        <v>0</v>
      </c>
      <c r="I7" s="2" t="n">
        <v>1000</v>
      </c>
      <c r="J7" s="2" t="n">
        <v>100</v>
      </c>
      <c r="K7" s="2" t="n">
        <v>0</v>
      </c>
      <c r="L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0</v>
      </c>
      <c r="AB7" s="2" t="n">
        <v>1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M7" t="inlineStr"/>
    </row>
    <row r="8">
      <c r="A8" t="inlineStr">
        <is>
          <t>High</t>
        </is>
      </c>
      <c r="B8" t="inlineStr">
        <is>
          <t>Agent A</t>
        </is>
      </c>
      <c r="C8" t="inlineStr">
        <is>
          <t>Aggregate</t>
        </is>
      </c>
      <c r="D8" t="inlineStr">
        <is>
          <t>Fixture A</t>
        </is>
      </c>
      <c r="E8" s="2" t="n">
        <v>1</v>
      </c>
      <c r="F8" s="2">
        <f>IF(Z8="daily_users",AA8*AB8*AC8,AD8)*AE8</f>
        <v/>
      </c>
      <c r="G8" s="2">
        <f>AJ8*AK8</f>
        <v/>
      </c>
      <c r="H8" s="2" t="n">
        <v>0</v>
      </c>
      <c r="I8" s="2" t="n">
        <v>1500</v>
      </c>
      <c r="J8" s="2" t="n">
        <v>150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1</v>
      </c>
      <c r="AB8" s="2" t="n">
        <v>1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M8" t="inlineStr"/>
    </row>
    <row r="9">
      <c r="A9" t="inlineStr">
        <is>
          <t>High</t>
        </is>
      </c>
      <c r="B9" t="inlineStr">
        <is>
          <t>Agent B</t>
        </is>
      </c>
      <c r="C9" t="inlineStr">
        <is>
          <t>Aggregate</t>
        </is>
      </c>
      <c r="D9" t="inlineStr">
        <is>
          <t>Fixture B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</v>
      </c>
      <c r="I9" s="2" t="n">
        <v>1500</v>
      </c>
      <c r="J9" s="2" t="n">
        <v>150</v>
      </c>
      <c r="K9" s="2" t="n">
        <v>0</v>
      </c>
      <c r="L9" s="2" t="n">
        <v>0</v>
      </c>
      <c r="M9" s="2" t="n">
        <v>1</v>
      </c>
      <c r="N9" s="2" t="n">
        <v>4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1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M9" t="inlineStr"/>
    </row>
    <row r="10">
      <c r="A10" t="inlineStr">
        <is>
          <t>High</t>
        </is>
      </c>
      <c r="B10" t="inlineStr">
        <is>
          <t>Unselected agent</t>
        </is>
      </c>
      <c r="C10" t="inlineStr">
        <is>
          <t>Aggregate</t>
        </is>
      </c>
      <c r="D10" t="inlineStr"/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1500</v>
      </c>
      <c r="J10" s="2" t="n">
        <v>150</v>
      </c>
      <c r="K10" s="2" t="n">
        <v>0</v>
      </c>
      <c r="L10" s="2" t="n">
        <v>0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0</v>
      </c>
      <c r="AB10" s="2" t="n">
        <v>1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M10" t="inlineStr"/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Agent A</t>
        </is>
      </c>
      <c r="B2" t="inlineStr">
        <is>
          <t>simple</t>
        </is>
      </c>
      <c r="C2" s="2" t="n">
        <v>1</v>
      </c>
      <c r="D2" s="2" t="n">
        <v>0</v>
      </c>
      <c r="E2" t="inlineStr">
        <is>
          <t>Fixture A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</v>
      </c>
      <c r="O2" t="inlineStr">
        <is>
          <t>Agent A-member</t>
        </is>
      </c>
      <c r="P2" t="inlineStr">
        <is>
          <t>Fixture</t>
        </is>
      </c>
    </row>
    <row r="3">
      <c r="A3" t="inlineStr">
        <is>
          <t>Agent B</t>
        </is>
      </c>
      <c r="B3" t="inlineStr">
        <is>
          <t>simple</t>
        </is>
      </c>
      <c r="C3" s="2" t="n">
        <v>1</v>
      </c>
      <c r="D3" s="2" t="n">
        <v>0</v>
      </c>
      <c r="E3" t="inlineStr">
        <is>
          <t>Fixture B</t>
        </is>
      </c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1</v>
      </c>
      <c r="N3" s="2" t="n">
        <v>1</v>
      </c>
      <c r="O3" t="inlineStr">
        <is>
          <t>Agent B-member</t>
        </is>
      </c>
      <c r="P3" t="inlineStr">
        <is>
          <t>Fixture</t>
        </is>
      </c>
    </row>
    <row r="4">
      <c r="A4" t="inlineStr">
        <is>
          <t>Unselected agent</t>
        </is>
      </c>
      <c r="B4" t="inlineStr">
        <is>
          <t>simple</t>
        </is>
      </c>
      <c r="C4" s="2" t="n">
        <v>1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0</v>
      </c>
      <c r="N4" s="2" t="n">
        <v>1</v>
      </c>
      <c r="O4" t="inlineStr">
        <is>
          <t>Unselected agent-member</t>
        </is>
      </c>
      <c r="P4" t="inlineStr">
        <is>
          <t>Fixture</t>
        </is>
      </c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Agent A</t>
        </is>
      </c>
      <c r="B2" t="inlineStr">
        <is>
          <t>Agent A</t>
        </is>
      </c>
      <c r="C2" t="inlineStr">
        <is>
          <t>Agent A-member</t>
        </is>
      </c>
      <c r="D2" t="inlineStr">
        <is>
          <t>Agent A</t>
        </is>
      </c>
      <c r="E2" t="inlineStr">
        <is>
          <t>Fixture</t>
        </is>
      </c>
    </row>
    <row r="3">
      <c r="A3" t="inlineStr">
        <is>
          <t>Agent B</t>
        </is>
      </c>
      <c r="B3" t="inlineStr">
        <is>
          <t>Agent B</t>
        </is>
      </c>
      <c r="C3" t="inlineStr">
        <is>
          <t>Agent B-member</t>
        </is>
      </c>
      <c r="D3" t="inlineStr">
        <is>
          <t>Agent B</t>
        </is>
      </c>
      <c r="E3" t="inlineStr">
        <is>
          <t>Fixture</t>
        </is>
      </c>
    </row>
    <row r="4">
      <c r="A4" t="inlineStr">
        <is>
          <t>Unselected agent</t>
        </is>
      </c>
      <c r="B4" t="inlineStr">
        <is>
          <t>Unselected agent</t>
        </is>
      </c>
      <c r="C4" t="inlineStr">
        <is>
          <t>Unselected agent-member</t>
        </is>
      </c>
      <c r="D4" t="inlineStr">
        <is>
          <t>Unselected agent</t>
        </is>
      </c>
      <c r="E4" t="inlineStr">
        <is>
          <t>Fixture</t>
        </is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Agent A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1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Agent A</t>
        </is>
      </c>
    </row>
    <row r="3">
      <c r="A3" t="inlineStr">
        <is>
          <t>Agent B</t>
        </is>
      </c>
      <c r="B3" t="inlineStr">
        <is>
          <t>simple</t>
        </is>
      </c>
      <c r="C3" s="2" t="n">
        <v>1</v>
      </c>
      <c r="D3" t="inlineStr">
        <is>
          <t>daily_users</t>
        </is>
      </c>
      <c r="E3" s="2" t="n">
        <v>1</v>
      </c>
      <c r="F3" s="2" t="n">
        <v>1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  <c r="K3" t="inlineStr">
        <is>
          <t>Agent B</t>
        </is>
      </c>
    </row>
    <row r="4">
      <c r="A4" t="inlineStr">
        <is>
          <t>Unselected agent</t>
        </is>
      </c>
      <c r="B4" t="inlineStr">
        <is>
          <t>simple</t>
        </is>
      </c>
      <c r="C4" s="2" t="n">
        <v>1</v>
      </c>
      <c r="D4" t="inlineStr">
        <is>
          <t>daily_users</t>
        </is>
      </c>
      <c r="E4" s="2" t="n">
        <v>0</v>
      </c>
      <c r="F4" s="2" t="n">
        <v>1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  <c r="K4" t="inlineStr">
        <is>
          <t>Unselected agent</t>
        </is>
      </c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60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60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60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Agent A</t>
        </is>
      </c>
      <c r="C2" t="inlineStr">
        <is>
          <t>Agent A</t>
        </is>
      </c>
      <c r="D2" s="2" t="n">
        <v>30</v>
      </c>
      <c r="E2" s="2" t="n">
        <v>0.0021</v>
      </c>
      <c r="F2" s="2" t="n">
        <v>0</v>
      </c>
      <c r="G2" s="2" t="n">
        <v>0.0021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Agent B</t>
        </is>
      </c>
      <c r="C3" t="inlineStr">
        <is>
          <t>Agent B</t>
        </is>
      </c>
      <c r="D3" s="2" t="n">
        <v>30</v>
      </c>
      <c r="E3" s="2" t="n">
        <v>0.00105</v>
      </c>
      <c r="F3" s="2" t="n">
        <v>0</v>
      </c>
      <c r="G3" s="2" t="n">
        <v>0.00105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Unselected agent</t>
        </is>
      </c>
      <c r="C4" t="inlineStr">
        <is>
          <t>Unselected agent</t>
        </is>
      </c>
      <c r="D4" s="2" t="n">
        <v>0</v>
      </c>
      <c r="E4" s="2" t="n">
        <v>0</v>
      </c>
      <c r="F4" s="2" t="n">
        <v>0</v>
      </c>
      <c r="G4" s="2" t="n">
        <v>0</v>
      </c>
      <c r="H4" t="inlineStr">
        <is>
          <t>INCOMPLETE — known costs only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Agent A</t>
        </is>
      </c>
      <c r="C5" t="inlineStr">
        <is>
          <t>Agent A</t>
        </is>
      </c>
      <c r="D5" s="2" t="n">
        <v>30</v>
      </c>
      <c r="E5" s="2" t="n">
        <v>0.0028</v>
      </c>
      <c r="F5" s="2" t="n">
        <v>0</v>
      </c>
      <c r="G5" s="2" t="n">
        <v>0.0028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Agent B</t>
        </is>
      </c>
      <c r="C6" t="inlineStr">
        <is>
          <t>Agent B</t>
        </is>
      </c>
      <c r="D6" s="2" t="n">
        <v>30</v>
      </c>
      <c r="E6" s="2" t="n">
        <v>0.0014</v>
      </c>
      <c r="F6" s="2" t="n">
        <v>0</v>
      </c>
      <c r="G6" s="2" t="n">
        <v>0.0014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Unselected agent</t>
        </is>
      </c>
      <c r="C7" t="inlineStr">
        <is>
          <t>Unselected agent</t>
        </is>
      </c>
      <c r="D7" s="2" t="n">
        <v>0</v>
      </c>
      <c r="E7" s="2" t="n">
        <v>0</v>
      </c>
      <c r="F7" s="2" t="n">
        <v>0</v>
      </c>
      <c r="G7" s="2" t="n">
        <v>0</v>
      </c>
      <c r="H7" t="inlineStr">
        <is>
          <t>INCOMPLETE — known costs only</t>
        </is>
      </c>
      <c r="I7" t="inlineStr">
        <is>
          <t>Precomputed DAG rollup; inputs and direct calculations in other sheets</t>
        </is>
      </c>
    </row>
    <row r="8">
      <c r="A8" t="inlineStr">
        <is>
          <t>High</t>
        </is>
      </c>
      <c r="B8" t="inlineStr">
        <is>
          <t>Agent A</t>
        </is>
      </c>
      <c r="C8" t="inlineStr">
        <is>
          <t>Agent A</t>
        </is>
      </c>
      <c r="D8" s="2" t="n">
        <v>30</v>
      </c>
      <c r="E8" s="2" t="n">
        <v>0.0042</v>
      </c>
      <c r="F8" s="2" t="n">
        <v>0</v>
      </c>
      <c r="G8" s="2" t="n">
        <v>0.0042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High</t>
        </is>
      </c>
      <c r="B9" t="inlineStr">
        <is>
          <t>Agent B</t>
        </is>
      </c>
      <c r="C9" t="inlineStr">
        <is>
          <t>Agent B</t>
        </is>
      </c>
      <c r="D9" s="2" t="n">
        <v>30</v>
      </c>
      <c r="E9" s="2" t="n">
        <v>0.0021</v>
      </c>
      <c r="F9" s="2" t="n">
        <v>0</v>
      </c>
      <c r="G9" s="2" t="n">
        <v>0.0021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Unselected agent</t>
        </is>
      </c>
      <c r="C10" t="inlineStr">
        <is>
          <t>Unselected agent</t>
        </is>
      </c>
      <c r="D10" s="2" t="n">
        <v>0</v>
      </c>
      <c r="E10" s="2" t="n">
        <v>0</v>
      </c>
      <c r="F10" s="2" t="n">
        <v>0</v>
      </c>
      <c r="G10" s="2" t="n">
        <v>0</v>
      </c>
      <c r="H10" t="inlineStr">
        <is>
          <t>INCOMPLETE — known costs only</t>
        </is>
      </c>
      <c r="I10" t="inlineStr">
        <is>
          <t>Precomputed DAG rollup; inputs and direct calculations in other sheets</t>
        </is>
      </c>
    </row>
  </sheetData>
  <autoFilter ref="A1:I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  <row r="5">
      <c r="A5" t="inlineStr">
        <is>
          <t>Research intensive</t>
        </is>
      </c>
      <c r="B5" s="2">
        <f>SUMIF(Volume!B2:B4,A5,Volume!J2:J4)</f>
        <v/>
      </c>
    </row>
  </sheetData>
  <autoFilter ref="A1:B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  <row r="5">
      <c r="A5" t="inlineStr">
        <is>
          <t>Research intensive</t>
        </is>
      </c>
      <c r="B5" s="2">
        <f>SUMIFS(Calculations!R2:R10,Calculations!A2:A10,"Expected",Calculations!AF2:AF10,A5)</f>
        <v/>
      </c>
      <c r="C5" s="2">
        <f>SUMIFS(Calculations!S2:S10,Calculations!A2:A10,"Expected",Calculations!AF2:AF10,A5)</f>
        <v/>
      </c>
      <c r="D5" s="2">
        <f>B5+C5</f>
        <v/>
      </c>
      <c r="E5" s="2">
        <f>D5/F5</f>
        <v/>
      </c>
      <c r="F5" s="2" t="n">
        <v>30</v>
      </c>
    </row>
  </sheetData>
  <autoFilter ref="A1:F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  <row r="17">
      <c r="A17" t="inlineStr">
        <is>
          <t>Research intensive</t>
        </is>
      </c>
      <c r="B17" t="inlineStr">
        <is>
          <t>Uncached input</t>
        </is>
      </c>
      <c r="C17" s="2">
        <f>SUMIFS(Calculations!AG2:AG10,Calculations!A2:A10,"Expected",Calculations!AF2:AF10,A17)</f>
        <v/>
      </c>
      <c r="D17" s="2">
        <f>SUMIFS(Calculations!T2:T10,Calculations!A2:A10,"Expected",Calculations!AF2:AF10,A17)</f>
        <v/>
      </c>
      <c r="E17" s="2">
        <f>IF(C17=0,"",D17*1000000/C17)</f>
        <v/>
      </c>
      <c r="F17" t="inlineStr">
        <is>
          <t>Complete</t>
        </is>
      </c>
      <c r="G17" s="2">
        <f>C17/I17</f>
        <v/>
      </c>
      <c r="H17" s="2">
        <f>D17/I17</f>
        <v/>
      </c>
      <c r="I17" s="2" t="n">
        <v>30</v>
      </c>
    </row>
    <row r="18">
      <c r="A18" t="inlineStr">
        <is>
          <t>Research intensive</t>
        </is>
      </c>
      <c r="B18" t="inlineStr">
        <is>
          <t>Cached input read</t>
        </is>
      </c>
      <c r="C18" s="2">
        <f>SUMIFS(Calculations!AH2:AH10,Calculations!A2:A10,"Expected",Calculations!AF2:AF10,A18)</f>
        <v/>
      </c>
      <c r="D18" s="2">
        <f>SUMIFS(Calculations!V2:V10,Calculations!A2:A10,"Expected",Calculations!AF2:AF10,A18)</f>
        <v/>
      </c>
      <c r="E18" s="2">
        <f>IF(C18=0,"",D18*1000000/C18)</f>
        <v/>
      </c>
      <c r="F18" t="inlineStr">
        <is>
          <t>Complete</t>
        </is>
      </c>
      <c r="G18" s="2">
        <f>C18/I18</f>
        <v/>
      </c>
      <c r="H18" s="2">
        <f>D18/I18</f>
        <v/>
      </c>
      <c r="I18" s="2" t="n">
        <v>30</v>
      </c>
    </row>
    <row r="19">
      <c r="A19" t="inlineStr">
        <is>
          <t>Research intensive</t>
        </is>
      </c>
      <c r="B19" t="inlineStr">
        <is>
          <t>Input cache write</t>
        </is>
      </c>
      <c r="C19" s="2">
        <f>SUMIFS(Calculations!AI2:AI10,Calculations!A2:A10,"Expected",Calculations!AF2:AF10,A19)</f>
        <v/>
      </c>
      <c r="D19" s="2">
        <f>SUMIFS(Calculations!W2:W10,Calculations!A2:A10,"Expected",Calculations!AF2:AF10,A19)</f>
        <v/>
      </c>
      <c r="E19" s="2">
        <f>IF(C19=0,"",D19*1000000/C19)</f>
        <v/>
      </c>
      <c r="F19" t="inlineStr">
        <is>
          <t>Complete</t>
        </is>
      </c>
      <c r="G19" s="2">
        <f>C19/I19</f>
        <v/>
      </c>
      <c r="H19" s="2">
        <f>D19/I19</f>
        <v/>
      </c>
      <c r="I19" s="2" t="n">
        <v>30</v>
      </c>
    </row>
    <row r="20">
      <c r="A20" t="inlineStr">
        <is>
          <t>Research intensive</t>
        </is>
      </c>
      <c r="B20" t="inlineStr">
        <is>
          <t>Output incl. reasoning</t>
        </is>
      </c>
      <c r="C20" s="2">
        <f>SUMIFS(Calculations!S2:S10,Calculations!A2:A10,"Expected",Calculations!AF2:AF10,A20)</f>
        <v/>
      </c>
      <c r="D20" s="2">
        <f>SUMIFS(Calculations!U2:U10,Calculations!A2:A10,"Expected",Calculations!AF2:AF10,A20)</f>
        <v/>
      </c>
      <c r="E20" s="2">
        <f>IF(C20=0,"",D20*1000000/C20)</f>
        <v/>
      </c>
      <c r="F20" t="inlineStr">
        <is>
          <t>Complete</t>
        </is>
      </c>
      <c r="G20" s="2">
        <f>C20/I20</f>
        <v/>
      </c>
      <c r="H20" s="2">
        <f>D20/I20</f>
        <v/>
      </c>
      <c r="I20" s="2" t="n">
        <v>30</v>
      </c>
    </row>
    <row r="21">
      <c r="A21" t="inlineStr">
        <is>
          <t>Research intensive</t>
        </is>
      </c>
      <c r="B21" t="inlineStr">
        <is>
          <t>Total</t>
        </is>
      </c>
      <c r="C21" s="2">
        <f>SUM(C17:C20)</f>
        <v/>
      </c>
      <c r="D21" s="2">
        <f>SUM(D17:D20)</f>
        <v/>
      </c>
      <c r="F21" t="inlineStr">
        <is>
          <t>Complete</t>
        </is>
      </c>
      <c r="G21" s="2">
        <f>C21/I21</f>
        <v/>
      </c>
      <c r="H21" s="2">
        <f>D21/I21</f>
        <v/>
      </c>
      <c r="I21" s="2" t="n">
        <v>30</v>
      </c>
    </row>
  </sheetData>
  <autoFilter ref="A1:I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Research intensive</t>
        </is>
      </c>
      <c r="B5" s="2">
        <f>'Category usage'!B5</f>
        <v/>
      </c>
      <c r="C5" s="2">
        <f>SUM('Category costs'!D17:D19)</f>
        <v/>
      </c>
      <c r="D5" s="2">
        <f>'Category usage'!C5</f>
        <v/>
      </c>
      <c r="E5" s="2">
        <f>'Category costs'!D20</f>
        <v/>
      </c>
      <c r="F5" s="2">
        <f>B5+D5</f>
        <v/>
      </c>
      <c r="G5" s="2">
        <f>C5+E5</f>
        <v/>
      </c>
      <c r="H5" t="inlineStr">
        <is>
          <t>Complete</t>
        </is>
      </c>
    </row>
    <row r="6">
      <c r="A6" t="inlineStr">
        <is>
          <t>Suite total</t>
        </is>
      </c>
      <c r="B6" s="2">
        <f>SUM(B2:B5)</f>
        <v/>
      </c>
      <c r="C6" s="2">
        <f>SUM(C2:C5)</f>
        <v/>
      </c>
      <c r="D6" s="2">
        <f>SUM(D2:D5)</f>
        <v/>
      </c>
      <c r="E6" s="2">
        <f>SUM(E2:E5)</f>
        <v/>
      </c>
      <c r="F6" s="2">
        <f>B6+D6</f>
        <v/>
      </c>
      <c r="G6" s="2">
        <f>C6+E6</f>
        <v/>
      </c>
      <c r="H6" t="inlineStr">
        <is>
          <t>Complete</t>
        </is>
      </c>
    </row>
  </sheetData>
  <autoFilter ref="A1:H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1000</t>
        </is>
      </c>
      <c r="D2" t="inlineStr">
        <is>
          <t>100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Research intensive</t>
        </is>
      </c>
      <c r="B5" t="inlineStr">
        <is>
          <t>2</t>
        </is>
      </c>
      <c r="C5" t="inlineStr">
        <is>
          <t>1000</t>
        </is>
      </c>
      <c r="D5" t="inlineStr">
        <is>
          <t>500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</row>
  </sheetData>
  <autoFilter ref="A1:G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B</t>
        </is>
      </c>
      <c r="B3" t="inlineStr">
        <is>
          <t>Synthetic fixture</t>
        </is>
      </c>
      <c r="C3" s="2" t="n">
        <v>1</v>
      </c>
      <c r="D3" s="2" t="n">
        <v>4</v>
      </c>
      <c r="G3" t="inlineStr">
        <is>
          <t>Versioned E2E fixture</t>
        </is>
      </c>
      <c r="H3" t="inlineStr">
        <is>
          <t>2026-10-04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Profile model migration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2026-10-04T18:55:31Z</dcterms:created>
  <dcterms:modified xsi:type="dcterms:W3CDTF">2026-10-04T18:55:31Z</dcterms:modified>
</cp:coreProperties>
</file>