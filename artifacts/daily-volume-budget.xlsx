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Agent links" sheetId="5" state="visible" r:id="rId5"/>
    <sheet name="Category totals" sheetId="6" state="visible" r:id="rId6"/>
    <sheet name="Category usage" sheetId="7" state="visible" r:id="rId7"/>
    <sheet name="Category costs" sheetId="8" state="visible" r:id="rId8"/>
    <sheet name="Monthly category summary" sheetId="9" state="visible" r:id="rId9"/>
    <sheet name="Profiles" sheetId="10" state="visible" r:id="rId10"/>
    <sheet name="Scenarios" sheetId="11" state="visible" r:id="rId11"/>
    <sheet name="Additional costs" sheetId="12" state="visible" r:id="rId12"/>
    <sheet name="Pricing" sheetId="13" state="visible" r:id="rId13"/>
    <sheet name="Read me" sheetId="14" state="visible" r:id="rId14"/>
  </sheets>
  <definedNames>
    <definedName name="_xlnm._FilterDatabase" localSheetId="0" hidden="1">'Summary'!$A$1:$H$4</definedName>
    <definedName name="_xlnm._FilterDatabase" localSheetId="1" hidden="1">'Calculations'!$A$1:$AI$10</definedName>
    <definedName name="_xlnm._FilterDatabase" localSheetId="2" hidden="1">'Agents'!$A$1:$N$4</definedName>
    <definedName name="_xlnm._FilterDatabase" localSheetId="3" hidden="1">'Volume'!$A$1:$L$4</definedName>
    <definedName name="_xlnm._FilterDatabase" localSheetId="4" hidden="1">'Agent links'!$A$1:$L$1</definedName>
    <definedName name="_xlnm._FilterDatabase" localSheetId="5" hidden="1">'Category totals'!$A$1:$B$4</definedName>
    <definedName name="_xlnm._FilterDatabase" localSheetId="6" hidden="1">'Category usage'!$A$1:$F$4</definedName>
    <definedName name="_xlnm._FilterDatabase" localSheetId="7" hidden="1">'Category costs'!$A$1:$I$16</definedName>
    <definedName name="_xlnm._FilterDatabase" localSheetId="8" hidden="1">'Monthly category summary'!$A$1:$H$5</definedName>
    <definedName name="_xlnm._FilterDatabase" localSheetId="9" hidden="1">'Profiles'!$A$1:$H$4</definedName>
    <definedName name="_xlnm._FilterDatabase" localSheetId="10" hidden="1">'Scenarios'!$A$1:$G$4</definedName>
    <definedName name="_xlnm._FilterDatabase" localSheetId="11" hidden="1">'Additional costs'!$A$1:$A$1</definedName>
    <definedName name="_xlnm._FilterDatabase" localSheetId="12" hidden="1">'Pricing'!$A$1:$K$2</definedName>
    <definedName name="_xlnm._FilterDatabase" localSheetId="13" hidden="1">'Read me'!$A$1:$B$17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SUM(Calculations!X2:X4)</f>
        <v/>
      </c>
      <c r="C2" s="2" t="n">
        <v>0</v>
      </c>
      <c r="D2" s="2">
        <f>B2+C2</f>
        <v/>
      </c>
      <c r="E2" s="2" t="n">
        <v>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SUM(Calculations!X5:X7)</f>
        <v/>
      </c>
      <c r="C3" s="2" t="n">
        <v>0</v>
      </c>
      <c r="D3" s="2">
        <f>B3+C3</f>
        <v/>
      </c>
      <c r="E3" s="2" t="n">
        <v>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SUM(Calculations!X8:X10)</f>
        <v/>
      </c>
      <c r="C4" s="2" t="n">
        <v>0</v>
      </c>
      <c r="D4" s="2">
        <f>B4+C4</f>
        <v/>
      </c>
      <c r="E4" s="2" t="n">
        <v>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  <col width="30" customWidth="1" min="33" max="33"/>
    <col width="27" customWidth="1" min="34" max="34"/>
    <col width="27" customWidth="1" min="35" max="35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  <c r="AG1" s="1" t="inlineStr">
        <is>
          <t>Uncached input tokens/month</t>
        </is>
      </c>
      <c r="AH1" s="1" t="inlineStr">
        <is>
          <t>Cached read tokens/month</t>
        </is>
      </c>
      <c r="AI1" s="1" t="inlineStr">
        <is>
          <t>Cache write tokens/month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Aggregate</t>
        </is>
      </c>
      <c r="D2" t="inlineStr">
        <is>
          <t>Fixture A</t>
        </is>
      </c>
      <c r="E2" s="2" t="n">
        <v>2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2</v>
      </c>
      <c r="AB2" s="2" t="n">
        <v>3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  <c r="AG2" s="2">
        <f>R2*(1-K2-L2)</f>
        <v/>
      </c>
      <c r="AH2" s="2">
        <f>R2*K2</f>
        <v/>
      </c>
      <c r="AI2" s="2">
        <f>R2*L2</f>
        <v/>
      </c>
    </row>
    <row r="3">
      <c r="A3" t="inlineStr">
        <is>
          <t>Low</t>
        </is>
      </c>
      <c r="B3" t="inlineStr">
        <is>
          <t>Medium agents</t>
        </is>
      </c>
      <c r="C3" t="inlineStr">
        <is>
          <t>Aggregate</t>
        </is>
      </c>
      <c r="D3" t="inlineStr">
        <is>
          <t>Fixture A</t>
        </is>
      </c>
      <c r="E3" s="2" t="n">
        <v>1</v>
      </c>
      <c r="F3" s="2">
        <f>IF(Z3="daily_users",AA3*AB3*AC3,AD3)*AE3</f>
        <v/>
      </c>
      <c r="G3" s="2" t="n">
        <v>4</v>
      </c>
      <c r="H3" s="2" t="n">
        <v>0.05</v>
      </c>
      <c r="I3" s="2" t="n">
        <v>4500</v>
      </c>
      <c r="J3" s="2" t="n">
        <v>750</v>
      </c>
      <c r="K3" s="2" t="n">
        <v>0</v>
      </c>
      <c r="L3" s="2" t="n">
        <v>0</v>
      </c>
      <c r="M3" s="2" t="n">
        <v>2</v>
      </c>
      <c r="N3" s="2" t="n">
        <v>8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1</v>
      </c>
      <c r="AB3" s="2" t="n">
        <v>2</v>
      </c>
      <c r="AC3" s="2" t="n">
        <v>30</v>
      </c>
      <c r="AD3" s="2" t="n">
        <v>0</v>
      </c>
      <c r="AE3" s="2" t="n">
        <v>1</v>
      </c>
      <c r="AF3" t="inlineStr">
        <is>
          <t>medium</t>
        </is>
      </c>
      <c r="AG3" s="2">
        <f>R3*(1-K3-L3)</f>
        <v/>
      </c>
      <c r="AH3" s="2">
        <f>R3*K3</f>
        <v/>
      </c>
      <c r="AI3" s="2">
        <f>R3*L3</f>
        <v/>
      </c>
    </row>
    <row r="4">
      <c r="A4" t="inlineStr">
        <is>
          <t>Low</t>
        </is>
      </c>
      <c r="B4" t="inlineStr">
        <is>
          <t>High agents</t>
        </is>
      </c>
      <c r="C4" t="inlineStr">
        <is>
          <t>Aggregate</t>
        </is>
      </c>
      <c r="D4" t="inlineStr">
        <is>
          <t>Fixture A</t>
        </is>
      </c>
      <c r="E4" s="2" t="n">
        <v>1</v>
      </c>
      <c r="F4" s="2">
        <f>IF(Z4="daily_users",AA4*AB4*AC4,AD4)*AE4</f>
        <v/>
      </c>
      <c r="G4" s="2" t="n">
        <v>10</v>
      </c>
      <c r="H4" s="2" t="n">
        <v>0.1</v>
      </c>
      <c r="I4" s="2" t="n">
        <v>11250</v>
      </c>
      <c r="J4" s="2" t="n">
        <v>1500</v>
      </c>
      <c r="K4" s="2" t="n">
        <v>0</v>
      </c>
      <c r="L4" s="2" t="n">
        <v>0</v>
      </c>
      <c r="M4" s="2" t="n">
        <v>2</v>
      </c>
      <c r="N4" s="2" t="n">
        <v>8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4</v>
      </c>
      <c r="AB4" s="2" t="n">
        <v>0.5</v>
      </c>
      <c r="AC4" s="2" t="n">
        <v>30</v>
      </c>
      <c r="AD4" s="2" t="n">
        <v>0</v>
      </c>
      <c r="AE4" s="2" t="n">
        <v>1</v>
      </c>
      <c r="AF4" t="inlineStr">
        <is>
          <t>high</t>
        </is>
      </c>
      <c r="AG4" s="2">
        <f>R4*(1-K4-L4)</f>
        <v/>
      </c>
      <c r="AH4" s="2">
        <f>R4*K4</f>
        <v/>
      </c>
      <c r="AI4" s="2">
        <f>R4*L4</f>
        <v/>
      </c>
    </row>
    <row r="5">
      <c r="A5" t="inlineStr">
        <is>
          <t>Expected</t>
        </is>
      </c>
      <c r="B5" t="inlineStr">
        <is>
          <t>Simple agents</t>
        </is>
      </c>
      <c r="C5" t="inlineStr">
        <is>
          <t>Aggregate</t>
        </is>
      </c>
      <c r="D5" t="inlineStr">
        <is>
          <t>Fixture A</t>
        </is>
      </c>
      <c r="E5" s="2" t="n">
        <v>2</v>
      </c>
      <c r="F5" s="2">
        <f>IF(Z5="daily_users",AA5*AB5*AC5,AD5)*AE5</f>
        <v/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</v>
      </c>
      <c r="L5" s="2" t="n">
        <v>0</v>
      </c>
      <c r="M5" s="2" t="n">
        <v>2</v>
      </c>
      <c r="N5" s="2" t="n">
        <v>8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2</v>
      </c>
      <c r="AB5" s="2" t="n">
        <v>3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  <c r="AG5" s="2">
        <f>R5*(1-K5-L5)</f>
        <v/>
      </c>
      <c r="AH5" s="2">
        <f>R5*K5</f>
        <v/>
      </c>
      <c r="AI5" s="2">
        <f>R5*L5</f>
        <v/>
      </c>
    </row>
    <row r="6">
      <c r="A6" t="inlineStr">
        <is>
          <t>Expected</t>
        </is>
      </c>
      <c r="B6" t="inlineStr">
        <is>
          <t>Medium agents</t>
        </is>
      </c>
      <c r="C6" t="inlineStr">
        <is>
          <t>Aggregate</t>
        </is>
      </c>
      <c r="D6" t="inlineStr">
        <is>
          <t>Fixture A</t>
        </is>
      </c>
      <c r="E6" s="2" t="n">
        <v>1</v>
      </c>
      <c r="F6" s="2">
        <f>IF(Z6="daily_users",AA6*AB6*AC6,AD6)*AE6</f>
        <v/>
      </c>
      <c r="G6" s="2" t="n">
        <v>4</v>
      </c>
      <c r="H6" s="2" t="n">
        <v>0.05</v>
      </c>
      <c r="I6" s="2" t="n">
        <v>6000</v>
      </c>
      <c r="J6" s="2" t="n">
        <v>1000</v>
      </c>
      <c r="K6" s="2" t="n">
        <v>0</v>
      </c>
      <c r="L6" s="2" t="n">
        <v>0</v>
      </c>
      <c r="M6" s="2" t="n">
        <v>2</v>
      </c>
      <c r="N6" s="2" t="n">
        <v>8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1</v>
      </c>
      <c r="AB6" s="2" t="n">
        <v>2</v>
      </c>
      <c r="AC6" s="2" t="n">
        <v>30</v>
      </c>
      <c r="AD6" s="2" t="n">
        <v>0</v>
      </c>
      <c r="AE6" s="2" t="n">
        <v>1</v>
      </c>
      <c r="AF6" t="inlineStr">
        <is>
          <t>medium</t>
        </is>
      </c>
      <c r="AG6" s="2">
        <f>R6*(1-K6-L6)</f>
        <v/>
      </c>
      <c r="AH6" s="2">
        <f>R6*K6</f>
        <v/>
      </c>
      <c r="AI6" s="2">
        <f>R6*L6</f>
        <v/>
      </c>
    </row>
    <row r="7">
      <c r="A7" t="inlineStr">
        <is>
          <t>Expected</t>
        </is>
      </c>
      <c r="B7" t="inlineStr">
        <is>
          <t>High agents</t>
        </is>
      </c>
      <c r="C7" t="inlineStr">
        <is>
          <t>Aggregate</t>
        </is>
      </c>
      <c r="D7" t="inlineStr">
        <is>
          <t>Fixture A</t>
        </is>
      </c>
      <c r="E7" s="2" t="n">
        <v>1</v>
      </c>
      <c r="F7" s="2">
        <f>IF(Z7="daily_users",AA7*AB7*AC7,AD7)*AE7</f>
        <v/>
      </c>
      <c r="G7" s="2" t="n">
        <v>10</v>
      </c>
      <c r="H7" s="2" t="n">
        <v>0.1</v>
      </c>
      <c r="I7" s="2" t="n">
        <v>15000</v>
      </c>
      <c r="J7" s="2" t="n">
        <v>2000</v>
      </c>
      <c r="K7" s="2" t="n">
        <v>0</v>
      </c>
      <c r="L7" s="2" t="n">
        <v>0</v>
      </c>
      <c r="M7" s="2" t="n">
        <v>2</v>
      </c>
      <c r="N7" s="2" t="n">
        <v>8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4</v>
      </c>
      <c r="AB7" s="2" t="n">
        <v>0.5</v>
      </c>
      <c r="AC7" s="2" t="n">
        <v>30</v>
      </c>
      <c r="AD7" s="2" t="n">
        <v>0</v>
      </c>
      <c r="AE7" s="2" t="n">
        <v>1</v>
      </c>
      <c r="AF7" t="inlineStr">
        <is>
          <t>high</t>
        </is>
      </c>
      <c r="AG7" s="2">
        <f>R7*(1-K7-L7)</f>
        <v/>
      </c>
      <c r="AH7" s="2">
        <f>R7*K7</f>
        <v/>
      </c>
      <c r="AI7" s="2">
        <f>R7*L7</f>
        <v/>
      </c>
    </row>
    <row r="8">
      <c r="A8" t="inlineStr">
        <is>
          <t>High</t>
        </is>
      </c>
      <c r="B8" t="inlineStr">
        <is>
          <t>Simple agents</t>
        </is>
      </c>
      <c r="C8" t="inlineStr">
        <is>
          <t>Aggregate</t>
        </is>
      </c>
      <c r="D8" t="inlineStr">
        <is>
          <t>Fixture A</t>
        </is>
      </c>
      <c r="E8" s="2" t="n">
        <v>2</v>
      </c>
      <c r="F8" s="2">
        <f>IF(Z8="daily_users",AA8*AB8*AC8,AD8)*AE8</f>
        <v/>
      </c>
      <c r="G8" s="2" t="n">
        <v>1</v>
      </c>
      <c r="H8" s="2" t="n">
        <v>0.02</v>
      </c>
      <c r="I8" s="2" t="n">
        <v>3000</v>
      </c>
      <c r="J8" s="2" t="n">
        <v>750</v>
      </c>
      <c r="K8" s="2" t="n">
        <v>0</v>
      </c>
      <c r="L8" s="2" t="n">
        <v>0</v>
      </c>
      <c r="M8" s="2" t="n">
        <v>2</v>
      </c>
      <c r="N8" s="2" t="n">
        <v>8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  <c r="Z8" t="inlineStr">
        <is>
          <t>daily_users</t>
        </is>
      </c>
      <c r="AA8" s="2" t="n">
        <v>2</v>
      </c>
      <c r="AB8" s="2" t="n">
        <v>3</v>
      </c>
      <c r="AC8" s="2" t="n">
        <v>30</v>
      </c>
      <c r="AD8" s="2" t="n">
        <v>0</v>
      </c>
      <c r="AE8" s="2" t="n">
        <v>1</v>
      </c>
      <c r="AF8" t="inlineStr">
        <is>
          <t>simple</t>
        </is>
      </c>
      <c r="AG8" s="2">
        <f>R8*(1-K8-L8)</f>
        <v/>
      </c>
      <c r="AH8" s="2">
        <f>R8*K8</f>
        <v/>
      </c>
      <c r="AI8" s="2">
        <f>R8*L8</f>
        <v/>
      </c>
    </row>
    <row r="9">
      <c r="A9" t="inlineStr">
        <is>
          <t>High</t>
        </is>
      </c>
      <c r="B9" t="inlineStr">
        <is>
          <t>Medium agents</t>
        </is>
      </c>
      <c r="C9" t="inlineStr">
        <is>
          <t>Aggregate</t>
        </is>
      </c>
      <c r="D9" t="inlineStr">
        <is>
          <t>Fixture A</t>
        </is>
      </c>
      <c r="E9" s="2" t="n">
        <v>1</v>
      </c>
      <c r="F9" s="2">
        <f>IF(Z9="daily_users",AA9*AB9*AC9,AD9)*AE9</f>
        <v/>
      </c>
      <c r="G9" s="2" t="n">
        <v>4</v>
      </c>
      <c r="H9" s="2" t="n">
        <v>0.05</v>
      </c>
      <c r="I9" s="2" t="n">
        <v>9000</v>
      </c>
      <c r="J9" s="2" t="n">
        <v>1500</v>
      </c>
      <c r="K9" s="2" t="n">
        <v>0</v>
      </c>
      <c r="L9" s="2" t="n">
        <v>0</v>
      </c>
      <c r="M9" s="2" t="n">
        <v>2</v>
      </c>
      <c r="N9" s="2" t="n">
        <v>8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  <c r="Z9" t="inlineStr">
        <is>
          <t>daily_users</t>
        </is>
      </c>
      <c r="AA9" s="2" t="n">
        <v>1</v>
      </c>
      <c r="AB9" s="2" t="n">
        <v>2</v>
      </c>
      <c r="AC9" s="2" t="n">
        <v>30</v>
      </c>
      <c r="AD9" s="2" t="n">
        <v>0</v>
      </c>
      <c r="AE9" s="2" t="n">
        <v>1</v>
      </c>
      <c r="AF9" t="inlineStr">
        <is>
          <t>medium</t>
        </is>
      </c>
      <c r="AG9" s="2">
        <f>R9*(1-K9-L9)</f>
        <v/>
      </c>
      <c r="AH9" s="2">
        <f>R9*K9</f>
        <v/>
      </c>
      <c r="AI9" s="2">
        <f>R9*L9</f>
        <v/>
      </c>
    </row>
    <row r="10">
      <c r="A10" t="inlineStr">
        <is>
          <t>High</t>
        </is>
      </c>
      <c r="B10" t="inlineStr">
        <is>
          <t>High agents</t>
        </is>
      </c>
      <c r="C10" t="inlineStr">
        <is>
          <t>Aggregate</t>
        </is>
      </c>
      <c r="D10" t="inlineStr">
        <is>
          <t>Fixture A</t>
        </is>
      </c>
      <c r="E10" s="2" t="n">
        <v>1</v>
      </c>
      <c r="F10" s="2">
        <f>IF(Z10="daily_users",AA10*AB10*AC10,AD10)*AE10</f>
        <v/>
      </c>
      <c r="G10" s="2" t="n">
        <v>10</v>
      </c>
      <c r="H10" s="2" t="n">
        <v>0.1</v>
      </c>
      <c r="I10" s="2" t="n">
        <v>22500</v>
      </c>
      <c r="J10" s="2" t="n">
        <v>3000</v>
      </c>
      <c r="K10" s="2" t="n">
        <v>0</v>
      </c>
      <c r="L10" s="2" t="n">
        <v>0</v>
      </c>
      <c r="M10" s="2" t="n">
        <v>2</v>
      </c>
      <c r="N10" s="2" t="n">
        <v>8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  <c r="Z10" t="inlineStr">
        <is>
          <t>daily_users</t>
        </is>
      </c>
      <c r="AA10" s="2" t="n">
        <v>4</v>
      </c>
      <c r="AB10" s="2" t="n">
        <v>0.5</v>
      </c>
      <c r="AC10" s="2" t="n">
        <v>30</v>
      </c>
      <c r="AD10" s="2" t="n">
        <v>0</v>
      </c>
      <c r="AE10" s="2" t="n">
        <v>1</v>
      </c>
      <c r="AF10" t="inlineStr">
        <is>
          <t>high</t>
        </is>
      </c>
      <c r="AG10" s="2">
        <f>R10*(1-K10-L10)</f>
        <v/>
      </c>
      <c r="AH10" s="2">
        <f>R10*K10</f>
        <v/>
      </c>
      <c r="AI10" s="2">
        <f>R10*L10</f>
        <v/>
      </c>
    </row>
  </sheetData>
  <autoFilter ref="A1:AI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2</v>
      </c>
      <c r="N2" s="2" t="n">
        <v>3</v>
      </c>
    </row>
    <row r="3">
      <c r="A3" t="inlineStr">
        <is>
          <t>Medium agents</t>
        </is>
      </c>
      <c r="B3" t="inlineStr">
        <is>
          <t>medium</t>
        </is>
      </c>
      <c r="C3" s="2" t="n">
        <v>1</v>
      </c>
      <c r="D3" s="2" t="n">
        <v>0</v>
      </c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1</v>
      </c>
      <c r="N3" s="2" t="n">
        <v>2</v>
      </c>
    </row>
    <row r="4">
      <c r="A4" t="inlineStr">
        <is>
          <t>High agents</t>
        </is>
      </c>
      <c r="B4" t="inlineStr">
        <is>
          <t>high</t>
        </is>
      </c>
      <c r="C4" s="2" t="n">
        <v>1</v>
      </c>
      <c r="D4" s="2" t="n">
        <v>0</v>
      </c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daily_users</t>
        </is>
      </c>
      <c r="M4" s="2" t="n">
        <v>4</v>
      </c>
      <c r="N4" s="2" t="n">
        <v>0.5</v>
      </c>
    </row>
  </sheetData>
  <autoFilter ref="A1:N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  <col width="16" customWidth="1" min="11" max="11"/>
    <col width="32" customWidth="1" min="12" max="12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  <c r="K1" s="1" t="inlineStr">
        <is>
          <t>Agent row ID</t>
        </is>
      </c>
      <c r="L1" s="1" t="inlineStr">
        <is>
          <t>Previous direct volume source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t="inlineStr">
        <is>
          <t>daily_users</t>
        </is>
      </c>
      <c r="E2" s="2" t="n">
        <v>2</v>
      </c>
      <c r="F2" s="2" t="n">
        <v>3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  <c r="K2" t="inlineStr">
        <is>
          <t>9e821c51-cc39-442d-9300-a308d638af7a</t>
        </is>
      </c>
    </row>
    <row r="3">
      <c r="A3" t="inlineStr">
        <is>
          <t>Medium agents</t>
        </is>
      </c>
      <c r="B3" t="inlineStr">
        <is>
          <t>medium</t>
        </is>
      </c>
      <c r="C3" s="2" t="n">
        <v>1</v>
      </c>
      <c r="D3" t="inlineStr">
        <is>
          <t>daily_users</t>
        </is>
      </c>
      <c r="E3" s="2" t="n">
        <v>1</v>
      </c>
      <c r="F3" s="2" t="n">
        <v>2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  <c r="K3" t="inlineStr">
        <is>
          <t>a33d3e17-513d-4246-8333-fead6092ea0e</t>
        </is>
      </c>
    </row>
    <row r="4">
      <c r="A4" t="inlineStr">
        <is>
          <t>High agents</t>
        </is>
      </c>
      <c r="B4" t="inlineStr">
        <is>
          <t>high</t>
        </is>
      </c>
      <c r="C4" s="2" t="n">
        <v>1</v>
      </c>
      <c r="D4" t="inlineStr">
        <is>
          <t>daily_users</t>
        </is>
      </c>
      <c r="E4" s="2" t="n">
        <v>4</v>
      </c>
      <c r="F4" s="2" t="n">
        <v>0.5</v>
      </c>
      <c r="G4" s="2" t="n">
        <v>30</v>
      </c>
      <c r="H4" s="2" t="n">
        <v>0</v>
      </c>
      <c r="I4" s="2">
        <f>IF(D4="daily_users",E4*F4*G4,H4)</f>
        <v/>
      </c>
      <c r="J4" s="2">
        <f>C4*I4</f>
        <v/>
      </c>
      <c r="K4" t="inlineStr">
        <is>
          <t>9f6cd304-1cbd-4726-81d5-5ad7eba92b8a</t>
        </is>
      </c>
    </row>
  </sheetData>
  <autoFilter ref="A1:L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0" customWidth="1" min="3" max="3"/>
    <col width="16" customWidth="1" min="4" max="4"/>
    <col width="22" customWidth="1" min="5" max="5"/>
    <col width="32" customWidth="1" min="6" max="6"/>
    <col width="41" customWidth="1" min="7" max="7"/>
    <col width="2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2" customHeight="1">
      <c r="A1" s="1" t="inlineStr">
        <is>
          <t>Scenario</t>
        </is>
      </c>
      <c r="B1" s="1" t="inlineStr">
        <is>
          <t>Parent agent/group</t>
        </is>
      </c>
      <c r="C1" s="1" t="inlineStr">
        <is>
          <t>Child agent/group</t>
        </is>
      </c>
      <c r="D1" s="1" t="inlineStr">
        <is>
          <t>Branch group</t>
        </is>
      </c>
      <c r="E1" s="1" t="inlineStr">
        <is>
          <t>Trigger probability</t>
        </is>
      </c>
      <c r="F1" s="1" t="inlineStr">
        <is>
          <t>Child invocations per trigger</t>
        </is>
      </c>
      <c r="G1" s="1" t="inlineStr">
        <is>
          <t>Parent invocations/month (precomputed)</t>
        </is>
      </c>
      <c r="H1" s="1" t="inlineStr">
        <is>
          <t>Child invocations/month</t>
        </is>
      </c>
      <c r="I1" s="1" t="inlineStr">
        <is>
          <t>Status</t>
        </is>
      </c>
      <c r="J1" s="1" t="inlineStr">
        <is>
          <t>Link ID</t>
        </is>
      </c>
      <c r="K1" s="1" t="inlineStr">
        <is>
          <t>Parent row ID</t>
        </is>
      </c>
      <c r="L1" s="1" t="inlineStr">
        <is>
          <t>Child row ID</t>
        </is>
      </c>
    </row>
  </sheetData>
  <autoFilter ref="A1:L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SUMIF(Volume!B2:B4,A2,Volume!J2:J4)</f>
        <v/>
      </c>
    </row>
    <row r="3">
      <c r="A3" t="inlineStr">
        <is>
          <t>medium</t>
        </is>
      </c>
      <c r="B3" s="2">
        <f>SUMIF(Volume!B2:B4,A3,Volume!J2:J4)</f>
        <v/>
      </c>
    </row>
    <row r="4">
      <c r="A4" t="inlineStr">
        <is>
          <t>high</t>
        </is>
      </c>
      <c r="B4" s="2">
        <f>SUMIF(Volume!B2:B4,A4,Volume!J2:J4)</f>
        <v/>
      </c>
    </row>
  </sheetData>
  <autoFilter ref="A1:B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SUMIFS(Calculations!R2:R10,Calculations!A2:A10,"Expected",Calculations!AF2:AF10,A2)</f>
        <v/>
      </c>
      <c r="C2" s="2">
        <f>SUMIFS(Calculations!S2:S10,Calculations!A2:A10,"Expected",Calculations!AF2:AF10,A2)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SUMIFS(Calculations!R2:R10,Calculations!A2:A10,"Expected",Calculations!AF2:AF10,A3)</f>
        <v/>
      </c>
      <c r="C3" s="2">
        <f>SUMIFS(Calculations!S2:S10,Calculations!A2:A10,"Expected",Calculations!AF2:AF10,A3)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SUMIFS(Calculations!R2:R10,Calculations!A2:A10,"Expected",Calculations!AF2:AF10,A4)</f>
        <v/>
      </c>
      <c r="C4" s="2">
        <f>SUMIFS(Calculations!S2:S10,Calculations!A2:A10,"Expected",Calculations!AF2:AF10,A4)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3" customWidth="1" min="4" max="4"/>
    <col width="24" customWidth="1" min="5" max="5"/>
    <col width="16" customWidth="1" min="6" max="6"/>
    <col width="21" customWidth="1" min="7" max="7"/>
    <col width="21" customWidth="1" min="8" max="8"/>
    <col width="22" customWidth="1" min="9" max="9"/>
  </cols>
  <sheetData>
    <row r="1" ht="32" customHeight="1">
      <c r="A1" s="1" t="inlineStr">
        <is>
          <t>Complexity</t>
        </is>
      </c>
      <c r="B1" s="1" t="inlineStr">
        <is>
          <t>Token type</t>
        </is>
      </c>
      <c r="C1" s="1" t="inlineStr">
        <is>
          <t>Tokens/month</t>
        </is>
      </c>
      <c r="D1" s="1" t="inlineStr">
        <is>
          <t>Known cost USD/month</t>
        </is>
      </c>
      <c r="E1" s="1" t="inlineStr">
        <is>
          <t>Blended USD/1M tokens</t>
        </is>
      </c>
      <c r="F1" s="1" t="inlineStr">
        <is>
          <t>Status</t>
        </is>
      </c>
      <c r="G1" s="1" t="inlineStr">
        <is>
          <t>Average tokens/day</t>
        </is>
      </c>
      <c r="H1" s="1" t="inlineStr">
        <is>
          <t>Known cost USD/day</t>
        </is>
      </c>
      <c r="I1" s="1" t="inlineStr">
        <is>
          <t>Planning days/month</t>
        </is>
      </c>
    </row>
    <row r="2">
      <c r="A2" t="inlineStr">
        <is>
          <t>simple</t>
        </is>
      </c>
      <c r="B2" t="inlineStr">
        <is>
          <t>Uncached input</t>
        </is>
      </c>
      <c r="C2" s="2">
        <f>SUMIFS(Calculations!AG2:AG10,Calculations!A2:A10,"Expected",Calculations!AF2:AF10,A2)</f>
        <v/>
      </c>
      <c r="D2" s="2">
        <f>SUMIFS(Calculations!T2:T10,Calculations!A2:A10,"Expected",Calculations!AF2:AF10,A2)</f>
        <v/>
      </c>
      <c r="E2" s="2">
        <f>IF(C2=0,"",D2*1000000/C2)</f>
        <v/>
      </c>
      <c r="F2" t="inlineStr">
        <is>
          <t>Complete</t>
        </is>
      </c>
      <c r="G2" s="2">
        <f>C2/I2</f>
        <v/>
      </c>
      <c r="H2" s="2">
        <f>D2/I2</f>
        <v/>
      </c>
      <c r="I2" s="2" t="n">
        <v>30</v>
      </c>
    </row>
    <row r="3">
      <c r="A3" t="inlineStr">
        <is>
          <t>simple</t>
        </is>
      </c>
      <c r="B3" t="inlineStr">
        <is>
          <t>Cached input read</t>
        </is>
      </c>
      <c r="C3" s="2">
        <f>SUMIFS(Calculations!AH2:AH10,Calculations!A2:A10,"Expected",Calculations!AF2:AF10,A3)</f>
        <v/>
      </c>
      <c r="D3" s="2">
        <f>SUMIFS(Calculations!V2:V10,Calculations!A2:A10,"Expected",Calculations!AF2:AF10,A3)</f>
        <v/>
      </c>
      <c r="E3" s="2">
        <f>IF(C3=0,"",D3*1000000/C3)</f>
        <v/>
      </c>
      <c r="F3" t="inlineStr">
        <is>
          <t>Complete</t>
        </is>
      </c>
      <c r="G3" s="2">
        <f>C3/I3</f>
        <v/>
      </c>
      <c r="H3" s="2">
        <f>D3/I3</f>
        <v/>
      </c>
      <c r="I3" s="2" t="n">
        <v>30</v>
      </c>
    </row>
    <row r="4">
      <c r="A4" t="inlineStr">
        <is>
          <t>simple</t>
        </is>
      </c>
      <c r="B4" t="inlineStr">
        <is>
          <t>Input cache write</t>
        </is>
      </c>
      <c r="C4" s="2">
        <f>SUMIFS(Calculations!AI2:AI10,Calculations!A2:A10,"Expected",Calculations!AF2:AF10,A4)</f>
        <v/>
      </c>
      <c r="D4" s="2">
        <f>SUMIFS(Calculations!W2:W10,Calculations!A2:A10,"Expected",Calculations!AF2:AF10,A4)</f>
        <v/>
      </c>
      <c r="E4" s="2">
        <f>IF(C4=0,"",D4*1000000/C4)</f>
        <v/>
      </c>
      <c r="F4" t="inlineStr">
        <is>
          <t>Complete</t>
        </is>
      </c>
      <c r="G4" s="2">
        <f>C4/I4</f>
        <v/>
      </c>
      <c r="H4" s="2">
        <f>D4/I4</f>
        <v/>
      </c>
      <c r="I4" s="2" t="n">
        <v>30</v>
      </c>
    </row>
    <row r="5">
      <c r="A5" t="inlineStr">
        <is>
          <t>simple</t>
        </is>
      </c>
      <c r="B5" t="inlineStr">
        <is>
          <t>Output incl. reasoning</t>
        </is>
      </c>
      <c r="C5" s="2">
        <f>SUMIFS(Calculations!S2:S10,Calculations!A2:A10,"Expected",Calculations!AF2:AF10,A5)</f>
        <v/>
      </c>
      <c r="D5" s="2">
        <f>SUMIFS(Calculations!U2:U10,Calculations!A2:A10,"Expected",Calculations!AF2:AF10,A5)</f>
        <v/>
      </c>
      <c r="E5" s="2">
        <f>IF(C5=0,"",D5*1000000/C5)</f>
        <v/>
      </c>
      <c r="F5" t="inlineStr">
        <is>
          <t>Complete</t>
        </is>
      </c>
      <c r="G5" s="2">
        <f>C5/I5</f>
        <v/>
      </c>
      <c r="H5" s="2">
        <f>D5/I5</f>
        <v/>
      </c>
      <c r="I5" s="2" t="n">
        <v>30</v>
      </c>
    </row>
    <row r="6">
      <c r="A6" t="inlineStr">
        <is>
          <t>simple</t>
        </is>
      </c>
      <c r="B6" t="inlineStr">
        <is>
          <t>Total</t>
        </is>
      </c>
      <c r="C6" s="2">
        <f>SUM(C2:C5)</f>
        <v/>
      </c>
      <c r="D6" s="2">
        <f>SUM(D2:D5)</f>
        <v/>
      </c>
      <c r="F6" t="inlineStr">
        <is>
          <t>Complete</t>
        </is>
      </c>
      <c r="G6" s="2">
        <f>C6/I6</f>
        <v/>
      </c>
      <c r="H6" s="2">
        <f>D6/I6</f>
        <v/>
      </c>
      <c r="I6" s="2" t="n">
        <v>30</v>
      </c>
    </row>
    <row r="7">
      <c r="A7" t="inlineStr">
        <is>
          <t>medium</t>
        </is>
      </c>
      <c r="B7" t="inlineStr">
        <is>
          <t>Uncached input</t>
        </is>
      </c>
      <c r="C7" s="2">
        <f>SUMIFS(Calculations!AG2:AG10,Calculations!A2:A10,"Expected",Calculations!AF2:AF10,A7)</f>
        <v/>
      </c>
      <c r="D7" s="2">
        <f>SUMIFS(Calculations!T2:T10,Calculations!A2:A10,"Expected",Calculations!AF2:AF10,A7)</f>
        <v/>
      </c>
      <c r="E7" s="2">
        <f>IF(C7=0,"",D7*1000000/C7)</f>
        <v/>
      </c>
      <c r="F7" t="inlineStr">
        <is>
          <t>Complete</t>
        </is>
      </c>
      <c r="G7" s="2">
        <f>C7/I7</f>
        <v/>
      </c>
      <c r="H7" s="2">
        <f>D7/I7</f>
        <v/>
      </c>
      <c r="I7" s="2" t="n">
        <v>30</v>
      </c>
    </row>
    <row r="8">
      <c r="A8" t="inlineStr">
        <is>
          <t>medium</t>
        </is>
      </c>
      <c r="B8" t="inlineStr">
        <is>
          <t>Cached input read</t>
        </is>
      </c>
      <c r="C8" s="2">
        <f>SUMIFS(Calculations!AH2:AH10,Calculations!A2:A10,"Expected",Calculations!AF2:AF10,A8)</f>
        <v/>
      </c>
      <c r="D8" s="2">
        <f>SUMIFS(Calculations!V2:V10,Calculations!A2:A10,"Expected",Calculations!AF2:AF10,A8)</f>
        <v/>
      </c>
      <c r="E8" s="2">
        <f>IF(C8=0,"",D8*1000000/C8)</f>
        <v/>
      </c>
      <c r="F8" t="inlineStr">
        <is>
          <t>Complete</t>
        </is>
      </c>
      <c r="G8" s="2">
        <f>C8/I8</f>
        <v/>
      </c>
      <c r="H8" s="2">
        <f>D8/I8</f>
        <v/>
      </c>
      <c r="I8" s="2" t="n">
        <v>30</v>
      </c>
    </row>
    <row r="9">
      <c r="A9" t="inlineStr">
        <is>
          <t>medium</t>
        </is>
      </c>
      <c r="B9" t="inlineStr">
        <is>
          <t>Input cache write</t>
        </is>
      </c>
      <c r="C9" s="2">
        <f>SUMIFS(Calculations!AI2:AI10,Calculations!A2:A10,"Expected",Calculations!AF2:AF10,A9)</f>
        <v/>
      </c>
      <c r="D9" s="2">
        <f>SUMIFS(Calculations!W2:W10,Calculations!A2:A10,"Expected",Calculations!AF2:AF10,A9)</f>
        <v/>
      </c>
      <c r="E9" s="2">
        <f>IF(C9=0,"",D9*1000000/C9)</f>
        <v/>
      </c>
      <c r="F9" t="inlineStr">
        <is>
          <t>Complete</t>
        </is>
      </c>
      <c r="G9" s="2">
        <f>C9/I9</f>
        <v/>
      </c>
      <c r="H9" s="2">
        <f>D9/I9</f>
        <v/>
      </c>
      <c r="I9" s="2" t="n">
        <v>30</v>
      </c>
    </row>
    <row r="10">
      <c r="A10" t="inlineStr">
        <is>
          <t>medium</t>
        </is>
      </c>
      <c r="B10" t="inlineStr">
        <is>
          <t>Output incl. reasoning</t>
        </is>
      </c>
      <c r="C10" s="2">
        <f>SUMIFS(Calculations!S2:S10,Calculations!A2:A10,"Expected",Calculations!AF2:AF10,A10)</f>
        <v/>
      </c>
      <c r="D10" s="2">
        <f>SUMIFS(Calculations!U2:U10,Calculations!A2:A10,"Expected",Calculations!AF2:AF10,A10)</f>
        <v/>
      </c>
      <c r="E10" s="2">
        <f>IF(C10=0,"",D10*1000000/C10)</f>
        <v/>
      </c>
      <c r="F10" t="inlineStr">
        <is>
          <t>Complete</t>
        </is>
      </c>
      <c r="G10" s="2">
        <f>C10/I10</f>
        <v/>
      </c>
      <c r="H10" s="2">
        <f>D10/I10</f>
        <v/>
      </c>
      <c r="I10" s="2" t="n">
        <v>30</v>
      </c>
    </row>
    <row r="11">
      <c r="A11" t="inlineStr">
        <is>
          <t>medium</t>
        </is>
      </c>
      <c r="B11" t="inlineStr">
        <is>
          <t>Total</t>
        </is>
      </c>
      <c r="C11" s="2">
        <f>SUM(C7:C10)</f>
        <v/>
      </c>
      <c r="D11" s="2">
        <f>SUM(D7:D10)</f>
        <v/>
      </c>
      <c r="F11" t="inlineStr">
        <is>
          <t>Complete</t>
        </is>
      </c>
      <c r="G11" s="2">
        <f>C11/I11</f>
        <v/>
      </c>
      <c r="H11" s="2">
        <f>D11/I11</f>
        <v/>
      </c>
      <c r="I11" s="2" t="n">
        <v>30</v>
      </c>
    </row>
    <row r="12">
      <c r="A12" t="inlineStr">
        <is>
          <t>high</t>
        </is>
      </c>
      <c r="B12" t="inlineStr">
        <is>
          <t>Uncached input</t>
        </is>
      </c>
      <c r="C12" s="2">
        <f>SUMIFS(Calculations!AG2:AG10,Calculations!A2:A10,"Expected",Calculations!AF2:AF10,A12)</f>
        <v/>
      </c>
      <c r="D12" s="2">
        <f>SUMIFS(Calculations!T2:T10,Calculations!A2:A10,"Expected",Calculations!AF2:AF10,A12)</f>
        <v/>
      </c>
      <c r="E12" s="2">
        <f>IF(C12=0,"",D12*1000000/C12)</f>
        <v/>
      </c>
      <c r="F12" t="inlineStr">
        <is>
          <t>Complete</t>
        </is>
      </c>
      <c r="G12" s="2">
        <f>C12/I12</f>
        <v/>
      </c>
      <c r="H12" s="2">
        <f>D12/I12</f>
        <v/>
      </c>
      <c r="I12" s="2" t="n">
        <v>30</v>
      </c>
    </row>
    <row r="13">
      <c r="A13" t="inlineStr">
        <is>
          <t>high</t>
        </is>
      </c>
      <c r="B13" t="inlineStr">
        <is>
          <t>Cached input read</t>
        </is>
      </c>
      <c r="C13" s="2">
        <f>SUMIFS(Calculations!AH2:AH10,Calculations!A2:A10,"Expected",Calculations!AF2:AF10,A13)</f>
        <v/>
      </c>
      <c r="D13" s="2">
        <f>SUMIFS(Calculations!V2:V10,Calculations!A2:A10,"Expected",Calculations!AF2:AF10,A13)</f>
        <v/>
      </c>
      <c r="E13" s="2">
        <f>IF(C13=0,"",D13*1000000/C13)</f>
        <v/>
      </c>
      <c r="F13" t="inlineStr">
        <is>
          <t>Complete</t>
        </is>
      </c>
      <c r="G13" s="2">
        <f>C13/I13</f>
        <v/>
      </c>
      <c r="H13" s="2">
        <f>D13/I13</f>
        <v/>
      </c>
      <c r="I13" s="2" t="n">
        <v>30</v>
      </c>
    </row>
    <row r="14">
      <c r="A14" t="inlineStr">
        <is>
          <t>high</t>
        </is>
      </c>
      <c r="B14" t="inlineStr">
        <is>
          <t>Input cache write</t>
        </is>
      </c>
      <c r="C14" s="2">
        <f>SUMIFS(Calculations!AI2:AI10,Calculations!A2:A10,"Expected",Calculations!AF2:AF10,A14)</f>
        <v/>
      </c>
      <c r="D14" s="2">
        <f>SUMIFS(Calculations!W2:W10,Calculations!A2:A10,"Expected",Calculations!AF2:AF10,A14)</f>
        <v/>
      </c>
      <c r="E14" s="2">
        <f>IF(C14=0,"",D14*1000000/C14)</f>
        <v/>
      </c>
      <c r="F14" t="inlineStr">
        <is>
          <t>Complete</t>
        </is>
      </c>
      <c r="G14" s="2">
        <f>C14/I14</f>
        <v/>
      </c>
      <c r="H14" s="2">
        <f>D14/I14</f>
        <v/>
      </c>
      <c r="I14" s="2" t="n">
        <v>30</v>
      </c>
    </row>
    <row r="15">
      <c r="A15" t="inlineStr">
        <is>
          <t>high</t>
        </is>
      </c>
      <c r="B15" t="inlineStr">
        <is>
          <t>Output incl. reasoning</t>
        </is>
      </c>
      <c r="C15" s="2">
        <f>SUMIFS(Calculations!S2:S10,Calculations!A2:A10,"Expected",Calculations!AF2:AF10,A15)</f>
        <v/>
      </c>
      <c r="D15" s="2">
        <f>SUMIFS(Calculations!U2:U10,Calculations!A2:A10,"Expected",Calculations!AF2:AF10,A15)</f>
        <v/>
      </c>
      <c r="E15" s="2">
        <f>IF(C15=0,"",D15*1000000/C15)</f>
        <v/>
      </c>
      <c r="F15" t="inlineStr">
        <is>
          <t>Complete</t>
        </is>
      </c>
      <c r="G15" s="2">
        <f>C15/I15</f>
        <v/>
      </c>
      <c r="H15" s="2">
        <f>D15/I15</f>
        <v/>
      </c>
      <c r="I15" s="2" t="n">
        <v>30</v>
      </c>
    </row>
    <row r="16">
      <c r="A16" t="inlineStr">
        <is>
          <t>high</t>
        </is>
      </c>
      <c r="B16" t="inlineStr">
        <is>
          <t>Total</t>
        </is>
      </c>
      <c r="C16" s="2">
        <f>SUM(C12:C15)</f>
        <v/>
      </c>
      <c r="D16" s="2">
        <f>SUM(D12:D15)</f>
        <v/>
      </c>
      <c r="F16" t="inlineStr">
        <is>
          <t>Complete</t>
        </is>
      </c>
      <c r="G16" s="2">
        <f>C16/I16</f>
        <v/>
      </c>
      <c r="H16" s="2">
        <f>D16/I16</f>
        <v/>
      </c>
      <c r="I16" s="2" t="n">
        <v>30</v>
      </c>
    </row>
  </sheetData>
  <autoFilter ref="A1:I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4" customWidth="1" min="3" max="3"/>
    <col width="22" customWidth="1" min="4" max="4"/>
    <col width="25" customWidth="1" min="5" max="5"/>
    <col width="21" customWidth="1" min="6" max="6"/>
    <col width="22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Known input USD/month</t>
        </is>
      </c>
      <c r="D1" s="1" t="inlineStr">
        <is>
          <t>Output tokens/month</t>
        </is>
      </c>
      <c r="E1" s="1" t="inlineStr">
        <is>
          <t>Known output USD/month</t>
        </is>
      </c>
      <c r="F1" s="1" t="inlineStr">
        <is>
          <t>Total tokens/month</t>
        </is>
      </c>
      <c r="G1" s="1" t="inlineStr">
        <is>
          <t>Known LLM USD/month</t>
        </is>
      </c>
      <c r="H1" s="1" t="inlineStr">
        <is>
          <t>Status</t>
        </is>
      </c>
    </row>
    <row r="2">
      <c r="A2" t="inlineStr">
        <is>
          <t>simple</t>
        </is>
      </c>
      <c r="B2" s="2">
        <f>'Category usage'!B2</f>
        <v/>
      </c>
      <c r="C2" s="2">
        <f>SUM('Category costs'!D2:D4)</f>
        <v/>
      </c>
      <c r="D2" s="2">
        <f>'Category usage'!C2</f>
        <v/>
      </c>
      <c r="E2" s="2">
        <f>'Category costs'!D5</f>
        <v/>
      </c>
      <c r="F2" s="2">
        <f>B2+D2</f>
        <v/>
      </c>
      <c r="G2" s="2">
        <f>C2+E2</f>
        <v/>
      </c>
      <c r="H2" t="inlineStr">
        <is>
          <t>Complete</t>
        </is>
      </c>
    </row>
    <row r="3">
      <c r="A3" t="inlineStr">
        <is>
          <t>medium</t>
        </is>
      </c>
      <c r="B3" s="2">
        <f>'Category usage'!B3</f>
        <v/>
      </c>
      <c r="C3" s="2">
        <f>SUM('Category costs'!D7:D9)</f>
        <v/>
      </c>
      <c r="D3" s="2">
        <f>'Category usage'!C3</f>
        <v/>
      </c>
      <c r="E3" s="2">
        <f>'Category costs'!D10</f>
        <v/>
      </c>
      <c r="F3" s="2">
        <f>B3+D3</f>
        <v/>
      </c>
      <c r="G3" s="2">
        <f>C3+E3</f>
        <v/>
      </c>
      <c r="H3" t="inlineStr">
        <is>
          <t>Complete</t>
        </is>
      </c>
    </row>
    <row r="4">
      <c r="A4" t="inlineStr">
        <is>
          <t>high</t>
        </is>
      </c>
      <c r="B4" s="2">
        <f>'Category usage'!B4</f>
        <v/>
      </c>
      <c r="C4" s="2">
        <f>SUM('Category costs'!D12:D14)</f>
        <v/>
      </c>
      <c r="D4" s="2">
        <f>'Category usage'!C4</f>
        <v/>
      </c>
      <c r="E4" s="2">
        <f>'Category costs'!D15</f>
        <v/>
      </c>
      <c r="F4" s="2">
        <f>B4+D4</f>
        <v/>
      </c>
      <c r="G4" s="2">
        <f>C4+E4</f>
        <v/>
      </c>
      <c r="H4" t="inlineStr">
        <is>
          <t>Complete</t>
        </is>
      </c>
    </row>
    <row r="5">
      <c r="A5" t="inlineStr">
        <is>
          <t>Suite total</t>
        </is>
      </c>
      <c r="B5" s="2">
        <f>SUM(B2:B4)</f>
        <v/>
      </c>
      <c r="C5" s="2">
        <f>SUM(C2:C4)</f>
        <v/>
      </c>
      <c r="D5" s="2">
        <f>SUM(D2:D4)</f>
        <v/>
      </c>
      <c r="E5" s="2">
        <f>SUM(E2:E4)</f>
        <v/>
      </c>
      <c r="F5" s="2">
        <f>B5+D5</f>
        <v/>
      </c>
      <c r="G5" s="2">
        <f>C5+E5</f>
        <v/>
      </c>
      <c r="H5" t="inlineStr">
        <is>
          <t>Complete</t>
        </is>
      </c>
    </row>
  </sheetData>
  <autoFilter ref="A1:H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</t>
        </is>
      </c>
      <c r="G2" t="inlineStr">
        <is>
          <t>0</t>
        </is>
      </c>
      <c r="H2" t="inlineStr">
        <is>
          <t>Fixture A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>
        <is>
          <t>Fixture A</t>
        </is>
      </c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>
        <is>
          <t>Fixture A</t>
        </is>
      </c>
    </row>
  </sheetData>
  <autoFilter ref="A1:H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</cols>
  <sheetData>
    <row r="1" ht="32" customHeight="1">
      <c r="A1" s="1" t="inlineStr">
        <is>
          <t>No items</t>
        </is>
      </c>
    </row>
  </sheetData>
  <autoFilter ref="A1:A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2026-10-02T20:28:36.792Z</t>
        </is>
      </c>
      <c r="I2" s="2" t="b">
        <v>1</v>
      </c>
      <c r="J2" t="inlineStr"/>
      <c r="K2" t="inlineStr"/>
    </row>
  </sheetData>
  <autoFilter ref="A1:K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Daily volume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For direct-volume rows, column F derives scenario monthly volume from columns Z–AE using a 30-day planning month. For derived rows, column F is the graph result precomputed by the app; edit links or upstream volume in the app and re-export.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direct baseline invocations and records app-precomputed derived invocations. Category totals sums the Volume sheet by complexity. These totals exclude scenario volume multipliers; Calculations contains scenario-effective volumes.</t>
        </is>
      </c>
    </row>
    <row r="7">
      <c r="A7" t="inlineStr">
        <is>
          <t>Agent links</t>
        </is>
      </c>
      <c r="B7" t="inlineStr">
        <is>
          <t>Agent links shows effective Low/Expected/High probability, fanout, and child contributions. Parent totals are precomputed in topological order by the app; changing edges or parent totals in this workbook does not update derived rows in Calculations or Volume. Re-export from the app for a revised graph. Derived rows in Agents cannot be reimported without rebuilding links in the app.</t>
        </is>
      </c>
    </row>
    <row r="8">
      <c r="A8" t="inlineStr">
        <is>
          <t>Category token usage</t>
        </is>
      </c>
      <c r="B8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9">
      <c r="A9" t="inlineStr">
        <is>
          <t>Category token costs</t>
        </is>
      </c>
      <c r="B9" t="inlineStr">
        <is>
          <t>Category costs splits Expected-scenario tokens into uncached input, cached reads, cache writes and output. Known monthly costs sum the corresponding Calculations formulas; average daily tokens and costs divide monthly values by 30 planning days. Blended USD/1M is derived from each token-type subtotal when pricing is complete; inspect Calculations for each model's selected rate. Incomplete rows omit unpriced agent lines from costs while retaining their token counts. Re-export after resolving pricing or limits.</t>
        </is>
      </c>
    </row>
    <row r="10">
      <c r="A10" t="inlineStr">
        <is>
          <t>Monthly category summary</t>
        </is>
      </c>
      <c r="B10" t="inlineStr">
        <is>
          <t>Monthly category summary combines Category usage input/output token counts with Category costs. Input cost includes uncached input, cached reads, and cache writes; output includes billable reasoning. The suite row sums category values and reconciles to the Expected LLM amount in Summary. Incomplete values include only fully priced agent lines.</t>
        </is>
      </c>
    </row>
    <row r="11">
      <c r="A11" t="inlineStr">
        <is>
          <t>Tier rates</t>
        </is>
      </c>
      <c r="B11" t="inlineStr">
        <is>
          <t>Rates in Calculations are selected using the exported per-call input size. After crossing a tier threshold, update the applicable rates from Pricing or re-export from the app.</t>
        </is>
      </c>
    </row>
    <row r="12">
      <c r="A12" t="inlineStr">
        <is>
          <t>Partial totals</t>
        </is>
      </c>
      <c r="B12" t="inlineStr">
        <is>
          <t>Incomplete rows have blank costs; summaries are known subtotals, not full budgets.</t>
        </is>
      </c>
    </row>
    <row r="13">
      <c r="A13" t="inlineStr">
        <is>
          <t>Annualization</t>
        </is>
      </c>
      <c r="B13" t="inlineStr">
        <is>
          <t>First year = 12 identical recurring months + one-time items. Additional monthly/one-time values in Summary are editable frozen inputs.</t>
        </is>
      </c>
    </row>
    <row r="14">
      <c r="A14" t="inlineStr">
        <is>
          <t>Scope</t>
        </is>
      </c>
      <c r="B14" t="inlineStr">
        <is>
          <t>Text tokens, including total billable reasoning in output. Cache writes use supplied rates. Tools, cache storage, multimodal charges require additional items/custom rates.</t>
        </is>
      </c>
    </row>
    <row r="15">
      <c r="A15" t="inlineStr">
        <is>
          <t>Scenarios</t>
        </is>
      </c>
      <c r="B15" t="inlineStr">
        <is>
          <t>Planning assumptions, not statistical confidence intervals. Execution fields in Calculations are scenario-effective values.</t>
        </is>
      </c>
    </row>
    <row r="16">
      <c r="A16" t="inlineStr">
        <is>
          <t>Detailed workflows</t>
        </is>
      </c>
      <c r="B16" t="inlineStr">
        <is>
          <t>Each step appears in Calculations and replaces the aggregate. The Agents sheet is an aggregate import template, not a lossless backup of detailed steps.</t>
        </is>
      </c>
    </row>
    <row r="17">
      <c r="A17" t="inlineStr">
        <is>
          <t>Version</t>
        </is>
      </c>
      <c r="B17" t="inlineStr">
        <is>
          <t>Schema 3; defaults 1</t>
        </is>
      </c>
    </row>
  </sheetData>
  <autoFilter ref="A1:B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2026-10-02T20:28:39Z</dcterms:created>
  <dcterms:modified xsi:type="dcterms:W3CDTF">2026-10-02T20:28:39Z</dcterms:modified>
</cp:coreProperties>
</file>