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'Agents'!$A$1:$P$6</definedName>
    <definedName name="_xlnm._FilterDatabase" localSheetId="3" hidden="1">'Agent identities'!$A$1:$E$8</definedName>
    <definedName name="_xlnm._FilterDatabase" localSheetId="4" hidden="1">'Volume'!$A$1:$L$6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cases'!$A$1:$I$16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group group</t>
        </is>
      </c>
      <c r="C2" t="inlineStr">
        <is>
          <t>Aggregate</t>
        </is>
      </c>
      <c r="D2" t="inlineStr">
        <is>
          <t>Rank fixture</t>
        </is>
      </c>
      <c r="E2" s="2" t="n">
        <v>3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0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manual</t>
        </is>
      </c>
      <c r="AC2" s="2" t="n">
        <v>30</v>
      </c>
      <c r="AD2" s="2" t="n">
        <v>3000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middle group</t>
        </is>
      </c>
      <c r="C3" t="inlineStr">
        <is>
          <t>Aggregate</t>
        </is>
      </c>
      <c r="D3" t="inlineStr">
        <is>
          <t>Rank fixture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750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manual</t>
        </is>
      </c>
      <c r="AC3" s="2" t="n">
        <v>30</v>
      </c>
      <c r="AD3" s="2" t="n">
        <v>4000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highest group</t>
        </is>
      </c>
      <c r="C4" t="inlineStr">
        <is>
          <t>Aggregate</t>
        </is>
      </c>
      <c r="D4" t="inlineStr">
        <is>
          <t>Rank fixture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750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manual</t>
        </is>
      </c>
      <c r="AC4" s="2" t="n">
        <v>30</v>
      </c>
      <c r="AD4" s="2" t="n">
        <v>6000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  <row r="5">
      <c r="A5" t="inlineStr">
        <is>
          <t>Low</t>
        </is>
      </c>
      <c r="B5" t="inlineStr">
        <is>
          <t>tools group</t>
        </is>
      </c>
      <c r="C5" t="inlineStr">
        <is>
          <t>Aggregate</t>
        </is>
      </c>
      <c r="D5" t="inlineStr">
        <is>
          <t>Rank fixture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manual</t>
        </is>
      </c>
      <c r="AC5" s="2" t="n">
        <v>30</v>
      </c>
      <c r="AD5" s="2" t="n">
        <v>2000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Low</t>
        </is>
      </c>
      <c r="B6" t="inlineStr">
        <is>
          <t>second group</t>
        </is>
      </c>
      <c r="C6" t="inlineStr">
        <is>
          <t>Aggregate</t>
        </is>
      </c>
      <c r="D6" t="inlineStr">
        <is>
          <t>Rank fixture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manual</t>
        </is>
      </c>
      <c r="AC6" s="2" t="n">
        <v>30</v>
      </c>
      <c r="AD6" s="2" t="n">
        <v>5000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group group</t>
        </is>
      </c>
      <c r="C7" t="inlineStr">
        <is>
          <t>Aggregate</t>
        </is>
      </c>
      <c r="D7" t="inlineStr">
        <is>
          <t>Rank fixture</t>
        </is>
      </c>
      <c r="E7" s="2" t="n">
        <v>3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manual</t>
        </is>
      </c>
      <c r="AC7" s="2" t="n">
        <v>30</v>
      </c>
      <c r="AD7" s="2" t="n">
        <v>3000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M7" t="inlineStr"/>
    </row>
    <row r="8">
      <c r="A8" t="inlineStr">
        <is>
          <t>Expected</t>
        </is>
      </c>
      <c r="B8" t="inlineStr">
        <is>
          <t>middle group</t>
        </is>
      </c>
      <c r="C8" t="inlineStr">
        <is>
          <t>Aggregate</t>
        </is>
      </c>
      <c r="D8" t="inlineStr">
        <is>
          <t>Rank fixture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1000</v>
      </c>
      <c r="J8" s="2" t="n">
        <v>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manual</t>
        </is>
      </c>
      <c r="AC8" s="2" t="n">
        <v>30</v>
      </c>
      <c r="AD8" s="2" t="n">
        <v>4000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Expected</t>
        </is>
      </c>
      <c r="B9" t="inlineStr">
        <is>
          <t>highest group</t>
        </is>
      </c>
      <c r="C9" t="inlineStr">
        <is>
          <t>Aggregate</t>
        </is>
      </c>
      <c r="D9" t="inlineStr">
        <is>
          <t>Rank fixture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1000</v>
      </c>
      <c r="J9" s="2" t="n">
        <v>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manual</t>
        </is>
      </c>
      <c r="AC9" s="2" t="n">
        <v>30</v>
      </c>
      <c r="AD9" s="2" t="n">
        <v>6000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M9" t="inlineStr"/>
    </row>
    <row r="10">
      <c r="A10" t="inlineStr">
        <is>
          <t>Expected</t>
        </is>
      </c>
      <c r="B10" t="inlineStr">
        <is>
          <t>tools group</t>
        </is>
      </c>
      <c r="C10" t="inlineStr">
        <is>
          <t>Aggregate</t>
        </is>
      </c>
      <c r="D10" t="inlineStr">
        <is>
          <t>Rank fixture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manual</t>
        </is>
      </c>
      <c r="AC10" s="2" t="n">
        <v>30</v>
      </c>
      <c r="AD10" s="2" t="n">
        <v>2000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  <row r="11">
      <c r="A11" t="inlineStr">
        <is>
          <t>Expected</t>
        </is>
      </c>
      <c r="B11" t="inlineStr">
        <is>
          <t>second group</t>
        </is>
      </c>
      <c r="C11" t="inlineStr">
        <is>
          <t>Aggregate</t>
        </is>
      </c>
      <c r="D11" t="inlineStr">
        <is>
          <t>Rank fixture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0</v>
      </c>
      <c r="K11" s="2" t="n">
        <v>0</v>
      </c>
      <c r="L11" s="2" t="n">
        <v>0</v>
      </c>
      <c r="M11" s="2" t="n">
        <v>2</v>
      </c>
      <c r="N11" s="2" t="n">
        <v>8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manual</t>
        </is>
      </c>
      <c r="AC11" s="2" t="n">
        <v>30</v>
      </c>
      <c r="AD11" s="2" t="n">
        <v>5000</v>
      </c>
      <c r="AE11" s="2" t="n">
        <v>1</v>
      </c>
      <c r="AF11" t="inlineStr">
        <is>
          <t>simple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M11" t="inlineStr"/>
    </row>
    <row r="12">
      <c r="A12" t="inlineStr">
        <is>
          <t>High</t>
        </is>
      </c>
      <c r="B12" t="inlineStr">
        <is>
          <t>group group</t>
        </is>
      </c>
      <c r="C12" t="inlineStr">
        <is>
          <t>Aggregate</t>
        </is>
      </c>
      <c r="D12" t="inlineStr">
        <is>
          <t>Rank fixture</t>
        </is>
      </c>
      <c r="E12" s="2" t="n">
        <v>3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manual</t>
        </is>
      </c>
      <c r="AC12" s="2" t="n">
        <v>30</v>
      </c>
      <c r="AD12" s="2" t="n">
        <v>3000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M12" t="inlineStr"/>
    </row>
    <row r="13">
      <c r="A13" t="inlineStr">
        <is>
          <t>High</t>
        </is>
      </c>
      <c r="B13" t="inlineStr">
        <is>
          <t>middle group</t>
        </is>
      </c>
      <c r="C13" t="inlineStr">
        <is>
          <t>Aggregate</t>
        </is>
      </c>
      <c r="D13" t="inlineStr">
        <is>
          <t>Rank fixture</t>
        </is>
      </c>
      <c r="E13" s="2" t="n">
        <v>1</v>
      </c>
      <c r="F13" s="2">
        <f>IF(Z13="daily_users",AA13*AB13*AC13,AD13)*AE13</f>
        <v/>
      </c>
      <c r="G13" s="2">
        <f>AJ13*AK13</f>
        <v/>
      </c>
      <c r="H13" s="2" t="n">
        <v>0</v>
      </c>
      <c r="I13" s="2" t="n">
        <v>1500</v>
      </c>
      <c r="J13" s="2" t="n">
        <v>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manual</t>
        </is>
      </c>
      <c r="AC13" s="2" t="n">
        <v>30</v>
      </c>
      <c r="AD13" s="2" t="n">
        <v>4000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M13" t="inlineStr"/>
    </row>
    <row r="14">
      <c r="A14" t="inlineStr">
        <is>
          <t>High</t>
        </is>
      </c>
      <c r="B14" t="inlineStr">
        <is>
          <t>highest group</t>
        </is>
      </c>
      <c r="C14" t="inlineStr">
        <is>
          <t>Aggregate</t>
        </is>
      </c>
      <c r="D14" t="inlineStr">
        <is>
          <t>Rank fixture</t>
        </is>
      </c>
      <c r="E14" s="2" t="n">
        <v>1</v>
      </c>
      <c r="F14" s="2">
        <f>IF(Z14="daily_users",AA14*AB14*AC14,AD14)*AE14</f>
        <v/>
      </c>
      <c r="G14" s="2">
        <f>AJ14*AK14</f>
        <v/>
      </c>
      <c r="H14" s="2" t="n">
        <v>0</v>
      </c>
      <c r="I14" s="2" t="n">
        <v>1500</v>
      </c>
      <c r="J14" s="2" t="n">
        <v>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manual</t>
        </is>
      </c>
      <c r="AC14" s="2" t="n">
        <v>30</v>
      </c>
      <c r="AD14" s="2" t="n">
        <v>6000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M14" t="inlineStr"/>
    </row>
    <row r="15">
      <c r="A15" t="inlineStr">
        <is>
          <t>High</t>
        </is>
      </c>
      <c r="B15" t="inlineStr">
        <is>
          <t>tools group</t>
        </is>
      </c>
      <c r="C15" t="inlineStr">
        <is>
          <t>Aggregate</t>
        </is>
      </c>
      <c r="D15" t="inlineStr">
        <is>
          <t>Rank fixture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manual</t>
        </is>
      </c>
      <c r="AC15" s="2" t="n">
        <v>30</v>
      </c>
      <c r="AD15" s="2" t="n">
        <v>2000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M15" t="inlineStr"/>
    </row>
    <row r="16">
      <c r="A16" t="inlineStr">
        <is>
          <t>High</t>
        </is>
      </c>
      <c r="B16" t="inlineStr">
        <is>
          <t>second group</t>
        </is>
      </c>
      <c r="C16" t="inlineStr">
        <is>
          <t>Aggregate</t>
        </is>
      </c>
      <c r="D16" t="inlineStr">
        <is>
          <t>Rank fixture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0</v>
      </c>
      <c r="K16" s="2" t="n">
        <v>0</v>
      </c>
      <c r="L16" s="2" t="n">
        <v>0</v>
      </c>
      <c r="M16" s="2" t="n">
        <v>2</v>
      </c>
      <c r="N16" s="2" t="n">
        <v>8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manual</t>
        </is>
      </c>
      <c r="AC16" s="2" t="n">
        <v>30</v>
      </c>
      <c r="AD16" s="2" t="n">
        <v>5000</v>
      </c>
      <c r="AE16" s="2" t="n">
        <v>1</v>
      </c>
      <c r="AF16" t="inlineStr">
        <is>
          <t>simple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group group</t>
        </is>
      </c>
      <c r="B2" t="inlineStr">
        <is>
          <t>simple</t>
        </is>
      </c>
      <c r="C2" s="2" t="n">
        <v>3</v>
      </c>
      <c r="D2" s="2" t="n">
        <v>3000</v>
      </c>
      <c r="E2" t="inlineStr">
        <is>
          <t>Rank fixture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manual</t>
        </is>
      </c>
      <c r="O2" t="inlineStr"/>
      <c r="P2" t="inlineStr"/>
    </row>
    <row r="3">
      <c r="A3" t="inlineStr">
        <is>
          <t>middle group</t>
        </is>
      </c>
      <c r="B3" t="inlineStr">
        <is>
          <t>simple</t>
        </is>
      </c>
      <c r="C3" s="2" t="n">
        <v>1</v>
      </c>
      <c r="D3" s="2" t="n">
        <v>4000</v>
      </c>
      <c r="E3" t="inlineStr">
        <is>
          <t>Rank fixture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manual</t>
        </is>
      </c>
      <c r="O3" t="inlineStr">
        <is>
          <t>middle-0</t>
        </is>
      </c>
      <c r="P3" t="inlineStr">
        <is>
          <t>Review cases</t>
        </is>
      </c>
    </row>
    <row r="4">
      <c r="A4" t="inlineStr">
        <is>
          <t>highest group</t>
        </is>
      </c>
      <c r="B4" t="inlineStr">
        <is>
          <t>simple</t>
        </is>
      </c>
      <c r="C4" s="2" t="n">
        <v>1</v>
      </c>
      <c r="D4" s="2" t="n">
        <v>6000</v>
      </c>
      <c r="E4" t="inlineStr">
        <is>
          <t>Rank fixture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manual</t>
        </is>
      </c>
      <c r="O4" t="inlineStr">
        <is>
          <t>highest-0</t>
        </is>
      </c>
      <c r="P4" t="inlineStr">
        <is>
          <t>Plan responses</t>
        </is>
      </c>
    </row>
    <row r="5">
      <c r="A5" t="inlineStr">
        <is>
          <t>tools group</t>
        </is>
      </c>
      <c r="B5" t="inlineStr">
        <is>
          <t>simple</t>
        </is>
      </c>
      <c r="C5" s="2" t="n">
        <v>1</v>
      </c>
      <c r="D5" s="2" t="n">
        <v>2000</v>
      </c>
      <c r="E5" t="inlineStr">
        <is>
          <t>Rank fixture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manual</t>
        </is>
      </c>
      <c r="O5" t="inlineStr">
        <is>
          <t>tools-0</t>
        </is>
      </c>
      <c r="P5" t="inlineStr">
        <is>
          <t>Look up records</t>
        </is>
      </c>
    </row>
    <row r="6">
      <c r="A6" t="inlineStr">
        <is>
          <t>second group</t>
        </is>
      </c>
      <c r="B6" t="inlineStr">
        <is>
          <t>simple</t>
        </is>
      </c>
      <c r="C6" s="2" t="n">
        <v>1</v>
      </c>
      <c r="D6" s="2" t="n">
        <v>5000</v>
      </c>
      <c r="E6" t="inlineStr">
        <is>
          <t>Rank fixture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manual</t>
        </is>
      </c>
      <c r="O6" t="inlineStr">
        <is>
          <t>second-0</t>
        </is>
      </c>
      <c r="P6" t="inlineStr">
        <is>
          <t>Draft responses</t>
        </is>
      </c>
    </row>
  </sheetData>
  <autoFilter ref="A1:P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group</t>
        </is>
      </c>
      <c r="B2" t="inlineStr">
        <is>
          <t>group group</t>
        </is>
      </c>
      <c r="C2" t="inlineStr">
        <is>
          <t>group-0</t>
        </is>
      </c>
      <c r="D2" t="inlineStr">
        <is>
          <t>Group C</t>
        </is>
      </c>
      <c r="E2" t="inlineStr">
        <is>
          <t>Shared analysis</t>
        </is>
      </c>
    </row>
    <row r="3">
      <c r="A3" t="inlineStr">
        <is>
          <t>group</t>
        </is>
      </c>
      <c r="B3" t="inlineStr">
        <is>
          <t>group group</t>
        </is>
      </c>
      <c r="C3" t="inlineStr">
        <is>
          <t>group-1</t>
        </is>
      </c>
      <c r="D3" t="inlineStr">
        <is>
          <t>Group B</t>
        </is>
      </c>
      <c r="E3" t="inlineStr">
        <is>
          <t>Shared analysis</t>
        </is>
      </c>
    </row>
    <row r="4">
      <c r="A4" t="inlineStr">
        <is>
          <t>group</t>
        </is>
      </c>
      <c r="B4" t="inlineStr">
        <is>
          <t>group group</t>
        </is>
      </c>
      <c r="C4" t="inlineStr">
        <is>
          <t>group-2</t>
        </is>
      </c>
      <c r="D4" t="inlineStr">
        <is>
          <t>Group A</t>
        </is>
      </c>
      <c r="E4" t="inlineStr">
        <is>
          <t>Shared analysis</t>
        </is>
      </c>
    </row>
    <row r="5">
      <c r="A5" t="inlineStr">
        <is>
          <t>middle</t>
        </is>
      </c>
      <c r="B5" t="inlineStr">
        <is>
          <t>middle group</t>
        </is>
      </c>
      <c r="C5" t="inlineStr">
        <is>
          <t>middle-0</t>
        </is>
      </c>
      <c r="D5" t="inlineStr">
        <is>
          <t>Middle</t>
        </is>
      </c>
      <c r="E5" t="inlineStr">
        <is>
          <t>Review cases</t>
        </is>
      </c>
    </row>
    <row r="6">
      <c r="A6" t="inlineStr">
        <is>
          <t>highest</t>
        </is>
      </c>
      <c r="B6" t="inlineStr">
        <is>
          <t>highest group</t>
        </is>
      </c>
      <c r="C6" t="inlineStr">
        <is>
          <t>highest-0</t>
        </is>
      </c>
      <c r="D6" t="inlineStr">
        <is>
          <t>Highest</t>
        </is>
      </c>
      <c r="E6" t="inlineStr">
        <is>
          <t>Plan responses</t>
        </is>
      </c>
    </row>
    <row r="7">
      <c r="A7" t="inlineStr">
        <is>
          <t>tools</t>
        </is>
      </c>
      <c r="B7" t="inlineStr">
        <is>
          <t>tools group</t>
        </is>
      </c>
      <c r="C7" t="inlineStr">
        <is>
          <t>tools-0</t>
        </is>
      </c>
      <c r="D7" t="inlineStr">
        <is>
          <t>Tool spender</t>
        </is>
      </c>
      <c r="E7" t="inlineStr">
        <is>
          <t>Look up records</t>
        </is>
      </c>
    </row>
    <row r="8">
      <c r="A8" t="inlineStr">
        <is>
          <t>second</t>
        </is>
      </c>
      <c r="B8" t="inlineStr">
        <is>
          <t>second group</t>
        </is>
      </c>
      <c r="C8" t="inlineStr">
        <is>
          <t>second-0</t>
        </is>
      </c>
      <c r="D8" t="inlineStr">
        <is>
          <t>Second</t>
        </is>
      </c>
      <c r="E8" t="inlineStr">
        <is>
          <t>Draft responses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group group</t>
        </is>
      </c>
      <c r="B2" t="inlineStr">
        <is>
          <t>simple</t>
        </is>
      </c>
      <c r="C2" s="2" t="n">
        <v>3</v>
      </c>
      <c r="D2" t="inlineStr">
        <is>
          <t>manual</t>
        </is>
      </c>
      <c r="G2" s="2" t="n">
        <v>30</v>
      </c>
      <c r="H2" s="2" t="n">
        <v>3000</v>
      </c>
      <c r="I2" s="2">
        <f>IF(D2="daily_users",E2*F2*G2,H2)</f>
        <v/>
      </c>
      <c r="J2" s="2">
        <f>C2*I2</f>
        <v/>
      </c>
      <c r="K2" t="inlineStr">
        <is>
          <t>group</t>
        </is>
      </c>
    </row>
    <row r="3">
      <c r="A3" t="inlineStr">
        <is>
          <t>middle group</t>
        </is>
      </c>
      <c r="B3" t="inlineStr">
        <is>
          <t>simple</t>
        </is>
      </c>
      <c r="C3" s="2" t="n">
        <v>1</v>
      </c>
      <c r="D3" t="inlineStr">
        <is>
          <t>manual</t>
        </is>
      </c>
      <c r="G3" s="2" t="n">
        <v>30</v>
      </c>
      <c r="H3" s="2" t="n">
        <v>4000</v>
      </c>
      <c r="I3" s="2">
        <f>IF(D3="daily_users",E3*F3*G3,H3)</f>
        <v/>
      </c>
      <c r="J3" s="2">
        <f>C3*I3</f>
        <v/>
      </c>
      <c r="K3" t="inlineStr">
        <is>
          <t>middle</t>
        </is>
      </c>
    </row>
    <row r="4">
      <c r="A4" t="inlineStr">
        <is>
          <t>highest group</t>
        </is>
      </c>
      <c r="B4" t="inlineStr">
        <is>
          <t>simple</t>
        </is>
      </c>
      <c r="C4" s="2" t="n">
        <v>1</v>
      </c>
      <c r="D4" t="inlineStr">
        <is>
          <t>manual</t>
        </is>
      </c>
      <c r="G4" s="2" t="n">
        <v>30</v>
      </c>
      <c r="H4" s="2" t="n">
        <v>6000</v>
      </c>
      <c r="I4" s="2">
        <f>IF(D4="daily_users",E4*F4*G4,H4)</f>
        <v/>
      </c>
      <c r="J4" s="2">
        <f>C4*I4</f>
        <v/>
      </c>
      <c r="K4" t="inlineStr">
        <is>
          <t>highest</t>
        </is>
      </c>
    </row>
    <row r="5">
      <c r="A5" t="inlineStr">
        <is>
          <t>tools group</t>
        </is>
      </c>
      <c r="B5" t="inlineStr">
        <is>
          <t>simple</t>
        </is>
      </c>
      <c r="C5" s="2" t="n">
        <v>1</v>
      </c>
      <c r="D5" t="inlineStr">
        <is>
          <t>manual</t>
        </is>
      </c>
      <c r="G5" s="2" t="n">
        <v>30</v>
      </c>
      <c r="H5" s="2" t="n">
        <v>2000</v>
      </c>
      <c r="I5" s="2">
        <f>IF(D5="daily_users",E5*F5*G5,H5)</f>
        <v/>
      </c>
      <c r="J5" s="2">
        <f>C5*I5</f>
        <v/>
      </c>
      <c r="K5" t="inlineStr">
        <is>
          <t>tools</t>
        </is>
      </c>
    </row>
    <row r="6">
      <c r="A6" t="inlineStr">
        <is>
          <t>second group</t>
        </is>
      </c>
      <c r="B6" t="inlineStr">
        <is>
          <t>simple</t>
        </is>
      </c>
      <c r="C6" s="2" t="n">
        <v>1</v>
      </c>
      <c r="D6" t="inlineStr">
        <is>
          <t>manual</t>
        </is>
      </c>
      <c r="G6" s="2" t="n">
        <v>30</v>
      </c>
      <c r="H6" s="2" t="n">
        <v>5000</v>
      </c>
      <c r="I6" s="2">
        <f>IF(D6="daily_users",E6*F6*G6,H6)</f>
        <v/>
      </c>
      <c r="J6" s="2">
        <f>C6*I6</f>
        <v/>
      </c>
      <c r="K6" t="inlineStr">
        <is>
          <t>second</t>
        </is>
      </c>
    </row>
  </sheetData>
  <autoFilter ref="A1:L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tools group</t>
        </is>
      </c>
      <c r="C2" t="inlineStr">
        <is>
          <t>Lookup</t>
        </is>
      </c>
      <c r="D2" s="2" t="n">
        <v>2000</v>
      </c>
      <c r="E2" s="2" t="n">
        <v>1</v>
      </c>
      <c r="F2" s="2" t="n">
        <v>1</v>
      </c>
      <c r="G2" s="2" t="n">
        <v>1</v>
      </c>
      <c r="H2" s="2" t="n">
        <v>0.05</v>
      </c>
      <c r="I2" s="2">
        <f>D2*E2*F2*G2*H2</f>
        <v/>
      </c>
    </row>
    <row r="3">
      <c r="A3" t="inlineStr">
        <is>
          <t>Expected</t>
        </is>
      </c>
      <c r="B3" t="inlineStr">
        <is>
          <t>tools group</t>
        </is>
      </c>
      <c r="C3" t="inlineStr">
        <is>
          <t>Lookup</t>
        </is>
      </c>
      <c r="D3" s="2" t="n">
        <v>2000</v>
      </c>
      <c r="E3" s="2" t="n">
        <v>1</v>
      </c>
      <c r="F3" s="2" t="n">
        <v>1</v>
      </c>
      <c r="G3" s="2" t="n">
        <v>1</v>
      </c>
      <c r="H3" s="2" t="n">
        <v>0.05</v>
      </c>
      <c r="I3" s="2">
        <f>D3*E3*F3*G3*H3</f>
        <v/>
      </c>
    </row>
    <row r="4">
      <c r="A4" t="inlineStr">
        <is>
          <t>High</t>
        </is>
      </c>
      <c r="B4" t="inlineStr">
        <is>
          <t>tools group</t>
        </is>
      </c>
      <c r="C4" t="inlineStr">
        <is>
          <t>Lookup</t>
        </is>
      </c>
      <c r="D4" s="2" t="n">
        <v>2000</v>
      </c>
      <c r="E4" s="2" t="n">
        <v>1</v>
      </c>
      <c r="F4" s="2" t="n">
        <v>1</v>
      </c>
      <c r="G4" s="2" t="n">
        <v>1</v>
      </c>
      <c r="H4" s="2" t="n">
        <v>0.05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26000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26000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26000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group group</t>
        </is>
      </c>
      <c r="C2" t="inlineStr">
        <is>
          <t>Shared analysis</t>
        </is>
      </c>
      <c r="D2" s="2" t="n">
        <v>9000</v>
      </c>
      <c r="E2" s="2" t="n">
        <v>0.0015</v>
      </c>
      <c r="F2" s="2" t="n">
        <v>0</v>
      </c>
      <c r="G2" s="2" t="n">
        <v>0.0015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middle group</t>
        </is>
      </c>
      <c r="C3" t="inlineStr">
        <is>
          <t>Review cases</t>
        </is>
      </c>
      <c r="D3" s="2" t="n">
        <v>4000</v>
      </c>
      <c r="E3" s="2" t="n">
        <v>0.0015</v>
      </c>
      <c r="F3" s="2" t="n">
        <v>0</v>
      </c>
      <c r="G3" s="2" t="n">
        <v>0.0015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highest group</t>
        </is>
      </c>
      <c r="C4" t="inlineStr">
        <is>
          <t>Plan responses</t>
        </is>
      </c>
      <c r="D4" s="2" t="n">
        <v>6000</v>
      </c>
      <c r="E4" s="2" t="n">
        <v>0.0015</v>
      </c>
      <c r="F4" s="2" t="n">
        <v>0</v>
      </c>
      <c r="G4" s="2" t="n">
        <v>0.0015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tools group</t>
        </is>
      </c>
      <c r="C5" t="inlineStr">
        <is>
          <t>Look up records</t>
        </is>
      </c>
      <c r="D5" s="2" t="n">
        <v>2000</v>
      </c>
      <c r="E5" s="2" t="n">
        <v>0.0515</v>
      </c>
      <c r="F5" s="2" t="n">
        <v>0</v>
      </c>
      <c r="G5" s="2" t="n">
        <v>0.0515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Low</t>
        </is>
      </c>
      <c r="B6" t="inlineStr">
        <is>
          <t>second group</t>
        </is>
      </c>
      <c r="C6" t="inlineStr">
        <is>
          <t>Draft responses</t>
        </is>
      </c>
      <c r="D6" s="2" t="n">
        <v>5000</v>
      </c>
      <c r="E6" s="2" t="n">
        <v>0.0015</v>
      </c>
      <c r="F6" s="2" t="n">
        <v>0</v>
      </c>
      <c r="G6" s="2" t="n">
        <v>0.0015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group group</t>
        </is>
      </c>
      <c r="C7" t="inlineStr">
        <is>
          <t>Shared analysis</t>
        </is>
      </c>
      <c r="D7" s="2" t="n">
        <v>9000</v>
      </c>
      <c r="E7" s="2" t="n">
        <v>0.002</v>
      </c>
      <c r="F7" s="2" t="n">
        <v>0</v>
      </c>
      <c r="G7" s="2" t="n">
        <v>0.002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middle group</t>
        </is>
      </c>
      <c r="C8" t="inlineStr">
        <is>
          <t>Review cases</t>
        </is>
      </c>
      <c r="D8" s="2" t="n">
        <v>4000</v>
      </c>
      <c r="E8" s="2" t="n">
        <v>0.002</v>
      </c>
      <c r="F8" s="2" t="n">
        <v>0</v>
      </c>
      <c r="G8" s="2" t="n">
        <v>0.002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highest group</t>
        </is>
      </c>
      <c r="C9" t="inlineStr">
        <is>
          <t>Plan responses</t>
        </is>
      </c>
      <c r="D9" s="2" t="n">
        <v>6000</v>
      </c>
      <c r="E9" s="2" t="n">
        <v>0.002</v>
      </c>
      <c r="F9" s="2" t="n">
        <v>0</v>
      </c>
      <c r="G9" s="2" t="n">
        <v>0.002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Expected</t>
        </is>
      </c>
      <c r="B10" t="inlineStr">
        <is>
          <t>tools group</t>
        </is>
      </c>
      <c r="C10" t="inlineStr">
        <is>
          <t>Look up records</t>
        </is>
      </c>
      <c r="D10" s="2" t="n">
        <v>2000</v>
      </c>
      <c r="E10" s="2" t="n">
        <v>0.052</v>
      </c>
      <c r="F10" s="2" t="n">
        <v>0</v>
      </c>
      <c r="G10" s="2" t="n">
        <v>0.052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Expected</t>
        </is>
      </c>
      <c r="B11" t="inlineStr">
        <is>
          <t>second group</t>
        </is>
      </c>
      <c r="C11" t="inlineStr">
        <is>
          <t>Draft responses</t>
        </is>
      </c>
      <c r="D11" s="2" t="n">
        <v>5000</v>
      </c>
      <c r="E11" s="2" t="n">
        <v>0.002</v>
      </c>
      <c r="F11" s="2" t="n">
        <v>0</v>
      </c>
      <c r="G11" s="2" t="n">
        <v>0.002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group group</t>
        </is>
      </c>
      <c r="C12" t="inlineStr">
        <is>
          <t>Shared analysis</t>
        </is>
      </c>
      <c r="D12" s="2" t="n">
        <v>9000</v>
      </c>
      <c r="E12" s="2" t="n">
        <v>0.003</v>
      </c>
      <c r="F12" s="2" t="n">
        <v>0</v>
      </c>
      <c r="G12" s="2" t="n">
        <v>0.003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middle group</t>
        </is>
      </c>
      <c r="C13" t="inlineStr">
        <is>
          <t>Review cases</t>
        </is>
      </c>
      <c r="D13" s="2" t="n">
        <v>4000</v>
      </c>
      <c r="E13" s="2" t="n">
        <v>0.003</v>
      </c>
      <c r="F13" s="2" t="n">
        <v>0</v>
      </c>
      <c r="G13" s="2" t="n">
        <v>0.003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  <row r="14">
      <c r="A14" t="inlineStr">
        <is>
          <t>High</t>
        </is>
      </c>
      <c r="B14" t="inlineStr">
        <is>
          <t>highest group</t>
        </is>
      </c>
      <c r="C14" t="inlineStr">
        <is>
          <t>Plan responses</t>
        </is>
      </c>
      <c r="D14" s="2" t="n">
        <v>6000</v>
      </c>
      <c r="E14" s="2" t="n">
        <v>0.003</v>
      </c>
      <c r="F14" s="2" t="n">
        <v>0</v>
      </c>
      <c r="G14" s="2" t="n">
        <v>0.003</v>
      </c>
      <c r="H14" t="inlineStr">
        <is>
          <t>Complete</t>
        </is>
      </c>
      <c r="I14" t="inlineStr">
        <is>
          <t>Precomputed DAG rollup; inputs and direct calculations in other sheets</t>
        </is>
      </c>
    </row>
    <row r="15">
      <c r="A15" t="inlineStr">
        <is>
          <t>High</t>
        </is>
      </c>
      <c r="B15" t="inlineStr">
        <is>
          <t>tools group</t>
        </is>
      </c>
      <c r="C15" t="inlineStr">
        <is>
          <t>Look up records</t>
        </is>
      </c>
      <c r="D15" s="2" t="n">
        <v>2000</v>
      </c>
      <c r="E15" s="2" t="n">
        <v>0.053</v>
      </c>
      <c r="F15" s="2" t="n">
        <v>0</v>
      </c>
      <c r="G15" s="2" t="n">
        <v>0.053</v>
      </c>
      <c r="H15" t="inlineStr">
        <is>
          <t>Complete</t>
        </is>
      </c>
      <c r="I15" t="inlineStr">
        <is>
          <t>Precomputed DAG rollup; inputs and direct calculations in other sheets</t>
        </is>
      </c>
    </row>
    <row r="16">
      <c r="A16" t="inlineStr">
        <is>
          <t>High</t>
        </is>
      </c>
      <c r="B16" t="inlineStr">
        <is>
          <t>second group</t>
        </is>
      </c>
      <c r="C16" t="inlineStr">
        <is>
          <t>Draft responses</t>
        </is>
      </c>
      <c r="D16" s="2" t="n">
        <v>5000</v>
      </c>
      <c r="E16" s="2" t="n">
        <v>0.003</v>
      </c>
      <c r="F16" s="2" t="n">
        <v>0</v>
      </c>
      <c r="G16" s="2" t="n">
        <v>0.003</v>
      </c>
      <c r="H16" t="inlineStr">
        <is>
          <t>Complete</t>
        </is>
      </c>
      <c r="I16" t="inlineStr">
        <is>
          <t>Precomputed DAG rollup; inputs and direct calculations in other sheets</t>
        </is>
      </c>
    </row>
  </sheetData>
  <autoFilter ref="A1:I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SUMIF(Volume!B2:B6,A2,Volume!J2:J6)</f>
        <v/>
      </c>
    </row>
    <row r="3">
      <c r="A3" t="inlineStr">
        <is>
          <t>medium</t>
        </is>
      </c>
      <c r="B3" s="2">
        <f>SUMIF(Volume!B2:B6,A3,Volume!J2:J6)</f>
        <v/>
      </c>
    </row>
    <row r="4">
      <c r="A4" t="inlineStr">
        <is>
          <t>high</t>
        </is>
      </c>
      <c r="B4" s="2">
        <f>SUMIF(Volume!B2:B6,A4,Volume!J2:J6)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SUMIFS(Calculations!R2:R16,Calculations!A2:A16,A2)</f>
        <v/>
      </c>
      <c r="C2" s="2">
        <f>SUMIFS(Calculations!T2:T16,Calculations!A2:A16,A2)+SUMIFS(Calculations!V2:V16,Calculations!A2:A16,A2)+SUMIFS(Calculations!W2:W16,Calculations!A2:A16,A2)</f>
        <v/>
      </c>
      <c r="D2" s="2">
        <f>SUMIFS(Calculations!S2:S16,Calculations!A2:A16,A2)</f>
        <v/>
      </c>
      <c r="E2" s="2">
        <f>SUMIFS(Calculations!U2:U16,Calculations!A2:A16,A2)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SUMIFS(Calculations!R2:R16,Calculations!A2:A16,A3)</f>
        <v/>
      </c>
      <c r="C3" s="2">
        <f>SUMIFS(Calculations!T2:T16,Calculations!A2:A16,A3)+SUMIFS(Calculations!V2:V16,Calculations!A2:A16,A3)+SUMIFS(Calculations!W2:W16,Calculations!A2:A16,A3)</f>
        <v/>
      </c>
      <c r="D3" s="2">
        <f>SUMIFS(Calculations!S2:S16,Calculations!A2:A16,A3)</f>
        <v/>
      </c>
      <c r="E3" s="2">
        <f>SUMIFS(Calculations!U2:U16,Calculations!A2:A16,A3)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SUMIFS(Calculations!R2:R16,Calculations!A2:A16,A4)</f>
        <v/>
      </c>
      <c r="C4" s="2">
        <f>SUMIFS(Calculations!T2:T16,Calculations!A2:A16,A4)+SUMIFS(Calculations!V2:V16,Calculations!A2:A16,A4)+SUMIFS(Calculations!W2:W16,Calculations!A2:A16,A4)</f>
        <v/>
      </c>
      <c r="D4" s="2">
        <f>SUMIFS(Calculations!S2:S16,Calculations!A2:A16,A4)</f>
        <v/>
      </c>
      <c r="E4" s="2">
        <f>SUMIFS(Calculations!U2:U16,Calculations!A2:A16,A4)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Rank fixture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Top five individual agents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2026-10-05T01:20:10Z</dcterms:created>
  <dcterms:modified xsi:type="dcterms:W3CDTF">2026-10-05T01:20:10Z</dcterms:modified>
</cp:coreProperties>
</file>