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ummary" state="visible" r:id="rId4"/>
    <sheet sheetId="2" name="Calculations" state="visible" r:id="rId5"/>
    <sheet sheetId="3" name="Agents" state="visible" r:id="rId6"/>
    <sheet sheetId="4" name="Step options" state="visible" r:id="rId7"/>
    <sheet sheetId="5" name="Step actions" state="visible" r:id="rId8"/>
    <sheet sheetId="6" name="Agent identities" state="visible" r:id="rId9"/>
    <sheet sheetId="7" name="Volume" state="visible" r:id="rId10"/>
    <sheet sheetId="8" name="Agent links" state="visible" r:id="rId11"/>
    <sheet sheetId="9" name="Tool costs" state="visible" r:id="rId12"/>
    <sheet sheetId="10" name="Harness" state="visible" r:id="rId13"/>
    <sheet sheetId="11" name="Use cases" state="visible" r:id="rId14"/>
    <sheet sheetId="12" name="Category totals" state="visible" r:id="rId15"/>
    <sheet sheetId="13" name="Category usage" state="visible" r:id="rId16"/>
    <sheet sheetId="14" name="Category costs" state="visible" r:id="rId17"/>
    <sheet sheetId="15" name="Monthly scenario summary" state="visible" r:id="rId18"/>
    <sheet sheetId="16" name="Monthly category summary" state="visible" r:id="rId19"/>
    <sheet sheetId="17" name="Profiles" state="visible" r:id="rId20"/>
    <sheet sheetId="18" name="Scenarios" state="visible" r:id="rId21"/>
    <sheet sheetId="19" name="Additional costs" state="visible" r:id="rId22"/>
    <sheet sheetId="20" name="Pricing" state="visible" r:id="rId23"/>
    <sheet sheetId="21" name="Read me" state="visible" r:id="rId24"/>
  </sheets>
  <definedNames>
    <definedName name="_xlnm._FilterDatabase">'Read me'!$A$1:$B$19</definedName>
  </definedNames>
  <calcPr calcId="171027"/>
</workbook>
</file>

<file path=xl/sharedStrings.xml><?xml version="1.0" encoding="utf-8"?>
<sst xmlns="http://schemas.openxmlformats.org/spreadsheetml/2006/main" count="935" uniqueCount="271">
  <si>
    <t>Scenario</t>
  </si>
  <si>
    <t>LLM monthly USD</t>
  </si>
  <si>
    <t>Additional monthly USD</t>
  </si>
  <si>
    <t>Recurring monthly USD</t>
  </si>
  <si>
    <t>One-time USD</t>
  </si>
  <si>
    <t>First month USD</t>
  </si>
  <si>
    <t>First year USD</t>
  </si>
  <si>
    <t>Status</t>
  </si>
  <si>
    <t>Tool monthly USD</t>
  </si>
  <si>
    <t>Harness monthly USD</t>
  </si>
  <si>
    <t>Low</t>
  </si>
  <si>
    <t>Complete</t>
  </si>
  <si>
    <t>Expected</t>
  </si>
  <si>
    <t>High</t>
  </si>
  <si>
    <t>Agent</t>
  </si>
  <si>
    <t>Step</t>
  </si>
  <si>
    <t>Model</t>
  </si>
  <si>
    <t>Count</t>
  </si>
  <si>
    <t>Total monthly invocations per agent</t>
  </si>
  <si>
    <t>Calls/invocation</t>
  </si>
  <si>
    <t>Extra attempt rate</t>
  </si>
  <si>
    <t>Input/call</t>
  </si>
  <si>
    <t>Output/call</t>
  </si>
  <si>
    <t>Cache read fraction</t>
  </si>
  <si>
    <t>Cache write fraction</t>
  </si>
  <si>
    <t>Input USD/M</t>
  </si>
  <si>
    <t>Output USD/M</t>
  </si>
  <si>
    <t>Cache read USD/M</t>
  </si>
  <si>
    <t>Cache write USD/M</t>
  </si>
  <si>
    <t>Monthly calls</t>
  </si>
  <si>
    <t>Input tokens/month</t>
  </si>
  <si>
    <t>Output tokens/month</t>
  </si>
  <si>
    <t>Input USD</t>
  </si>
  <si>
    <t>Output USD</t>
  </si>
  <si>
    <t>Cache read USD</t>
  </si>
  <si>
    <t>Cache write USD</t>
  </si>
  <si>
    <t>Volume source</t>
  </si>
  <si>
    <t>Users/day/agent</t>
  </si>
  <si>
    <t>Invocations/user/agent/day</t>
  </si>
  <si>
    <t>Planning days/month</t>
  </si>
  <si>
    <t>Manual invocations/agent/month</t>
  </si>
  <si>
    <t>Scenario volume factor</t>
  </si>
  <si>
    <t>Complexity</t>
  </si>
  <si>
    <t>Uncached input tokens/month</t>
  </si>
  <si>
    <t>Cached read tokens/month</t>
  </si>
  <si>
    <t>Cache write tokens/month</t>
  </si>
  <si>
    <t>Raw calls/occurrence after scenario</t>
  </si>
  <si>
    <t>Step x model probability</t>
  </si>
  <si>
    <t>Step ID</t>
  </si>
  <si>
    <t>Model role</t>
  </si>
  <si>
    <t>Root</t>
  </si>
  <si>
    <t>Main step</t>
  </si>
  <si>
    <t>A</t>
  </si>
  <si>
    <t>daily_users</t>
  </si>
  <si>
    <t>simple</t>
  </si>
  <si>
    <t>Root-model</t>
  </si>
  <si>
    <t>Alice</t>
  </si>
  <si>
    <t>derived</t>
  </si>
  <si>
    <t>Alice-model</t>
  </si>
  <si>
    <t>Bob</t>
  </si>
  <si>
    <t>B</t>
  </si>
  <si>
    <t>Bob-model</t>
  </si>
  <si>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</si>
  <si>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</si>
  <si>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</si>
  <si>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</si>
  <si>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</si>
  <si>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</si>
  <si>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</si>
  <si>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</si>
  <si>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</si>
  <si>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cache_fraction</t>
  </si>
  <si>
    <t>cache_write_fraction</t>
  </si>
  <si>
    <t>volume_source</t>
  </si>
  <si>
    <t>users_per_day</t>
  </si>
  <si>
    <t>invocations_per_user_per_agent_per_day</t>
  </si>
  <si>
    <t>agent_id</t>
  </si>
  <si>
    <t>business_use_case_description</t>
  </si>
  <si>
    <t>row_id</t>
  </si>
  <si>
    <t>Root handles a request</t>
  </si>
  <si>
    <t>Alice handles a request</t>
  </si>
  <si>
    <t>Bob handles a request</t>
  </si>
  <si>
    <t>step_id</t>
  </si>
  <si>
    <t>step_name</t>
  </si>
  <si>
    <t>order</t>
  </si>
  <si>
    <t>action_type</t>
  </si>
  <si>
    <t>execution_probability</t>
  </si>
  <si>
    <t>option_id</t>
  </si>
  <si>
    <t>probability</t>
  </si>
  <si>
    <t>child_agent_id</t>
  </si>
  <si>
    <t>low_execution_probability</t>
  </si>
  <si>
    <t>high_execution_probability</t>
  </si>
  <si>
    <t>low_probability</t>
  </si>
  <si>
    <t>high_probability</t>
  </si>
  <si>
    <t>multiplicity</t>
  </si>
  <si>
    <t>model</t>
  </si>
  <si>
    <t>1</t>
  </si>
  <si>
    <t>Root-model-model</t>
  </si>
  <si>
    <t>1000</t>
  </si>
  <si>
    <t>0</t>
  </si>
  <si>
    <t>delegate</t>
  </si>
  <si>
    <t>Delegate</t>
  </si>
  <si>
    <t>agent</t>
  </si>
  <si>
    <t>0.5</t>
  </si>
  <si>
    <t>to-alice</t>
  </si>
  <si>
    <t>0.8</t>
  </si>
  <si>
    <t>2</t>
  </si>
  <si>
    <t>to-bob</t>
  </si>
  <si>
    <t>0.2</t>
  </si>
  <si>
    <t>ba13f687-18b8-4964-ab17-08262c5654ef</t>
  </si>
  <si>
    <t>Delegate (copy)</t>
  </si>
  <si>
    <t>edf3a9c3-ee27-408d-a94e-389970a0db3d</t>
  </si>
  <si>
    <t>2f0ad5b1-ef9c-4de6-84a0-af2906bf2f1c</t>
  </si>
  <si>
    <t>Alice-model-model</t>
  </si>
  <si>
    <t>Bob-model-model</t>
  </si>
  <si>
    <t>Action</t>
  </si>
  <si>
    <t>Step probability</t>
  </si>
  <si>
    <t>Option ID</t>
  </si>
  <si>
    <t>Target</t>
  </si>
  <si>
    <t>Selection probability</t>
  </si>
  <si>
    <t>Option USD/execution (precomputed)</t>
  </si>
  <si>
    <t>Weighted USD/execution (precomputed)</t>
  </si>
  <si>
    <t>Step USD/month incl children (precomputed)</t>
  </si>
  <si>
    <t>Source ID</t>
  </si>
  <si>
    <t>Source name</t>
  </si>
  <si>
    <t>Agent ID</t>
  </si>
  <si>
    <t>Agent name</t>
  </si>
  <si>
    <t>Business use case description</t>
  </si>
  <si>
    <t>Agent count</t>
  </si>
  <si>
    <t>Users per agent per day</t>
  </si>
  <si>
    <t>Invocations per user per agent per day</t>
  </si>
  <si>
    <t>Planning days per month</t>
  </si>
  <si>
    <t>Manual invocations per agent per month</t>
  </si>
  <si>
    <t>Total monthly invocations all agents</t>
  </si>
  <si>
    <t>Agent row ID</t>
  </si>
  <si>
    <t>Previous direct volume source</t>
  </si>
  <si>
    <t>Caller agent</t>
  </si>
  <si>
    <t>Child agent</t>
  </si>
  <si>
    <t>Caller step</t>
  </si>
  <si>
    <t>Parent invocations/month (precomputed)</t>
  </si>
  <si>
    <t>Child invocations/month</t>
  </si>
  <si>
    <t>Link ID</t>
  </si>
  <si>
    <t>Parent row ID</t>
  </si>
  <si>
    <t>Child row ID</t>
  </si>
  <si>
    <t>Step execution probability</t>
  </si>
  <si>
    <t>Tool</t>
  </si>
  <si>
    <t>Monthly invocations</t>
  </si>
  <si>
    <t>Tool probability</t>
  </si>
  <si>
    <t>Units/invocation</t>
  </si>
  <si>
    <t>USD/unit</t>
  </si>
  <si>
    <t>Monthly USD</t>
  </si>
  <si>
    <t>Harness type</t>
  </si>
  <si>
    <t>Name</t>
  </si>
  <si>
    <t>Fixed USD/month</t>
  </si>
  <si>
    <t>Invocations/month</t>
  </si>
  <si>
    <t>USD/invocation</t>
  </si>
  <si>
    <t>Step executions/month</t>
  </si>
  <si>
    <t>USD/step</t>
  </si>
  <si>
    <t>Allocation</t>
  </si>
  <si>
    <t>Include in use-case cost</t>
  </si>
  <si>
    <t>none</t>
  </si>
  <si>
    <t>Agent harness</t>
  </si>
  <si>
    <t>by_invocations</t>
  </si>
  <si>
    <t>Use case</t>
  </si>
  <si>
    <t>Monthly completions</t>
  </si>
  <si>
    <t>Direct USD/completion</t>
  </si>
  <si>
    <t>Harness USD/completion</t>
  </si>
  <si>
    <t>Loaded USD/completion</t>
  </si>
  <si>
    <t>Calculation path</t>
  </si>
  <si>
    <t>Precomputed DAG rollup; inputs and direct calculations in other sheets</t>
  </si>
  <si>
    <t>medium</t>
  </si>
  <si>
    <t>high</t>
  </si>
  <si>
    <t>Research intensive</t>
  </si>
  <si>
    <t>Total tokens/month</t>
  </si>
  <si>
    <t>Average tokens/day</t>
  </si>
  <si>
    <t>Token type</t>
  </si>
  <si>
    <t>Tokens/month</t>
  </si>
  <si>
    <t>Known cost USD/month</t>
  </si>
  <si>
    <t>Blended USD/1M tokens</t>
  </si>
  <si>
    <t>Known cost USD/day</t>
  </si>
  <si>
    <t>Uncached input</t>
  </si>
  <si>
    <t>Cached input read</t>
  </si>
  <si>
    <t>Input cache write</t>
  </si>
  <si>
    <t>Output incl. reasoning</t>
  </si>
  <si>
    <t>Total</t>
  </si>
  <si>
    <t>Input cost USD/month</t>
  </si>
  <si>
    <t>Output cost USD/month</t>
  </si>
  <si>
    <t>Total token cost USD/month</t>
  </si>
  <si>
    <t>Harness cost USD/month</t>
  </si>
  <si>
    <t>Other costs USD/month</t>
  </si>
  <si>
    <t>Total cost USD/month</t>
  </si>
  <si>
    <t>Known input USD/month</t>
  </si>
  <si>
    <t>Known output USD/month</t>
  </si>
  <si>
    <t>Known LLM USD/month</t>
  </si>
  <si>
    <t>Suite total</t>
  </si>
  <si>
    <t>2000</t>
  </si>
  <si>
    <t>500</t>
  </si>
  <si>
    <t>0.02</t>
  </si>
  <si>
    <t>4</t>
  </si>
  <si>
    <t>6000</t>
  </si>
  <si>
    <t>0.05</t>
  </si>
  <si>
    <t>10</t>
  </si>
  <si>
    <t>15000</t>
  </si>
  <si>
    <t>0.10</t>
  </si>
  <si>
    <t>volume_factor</t>
  </si>
  <si>
    <t>calls_factor</t>
  </si>
  <si>
    <t>input_factor</t>
  </si>
  <si>
    <t>output_factor</t>
  </si>
  <si>
    <t>retry_factor</t>
  </si>
  <si>
    <t>0.75</t>
  </si>
  <si>
    <t>1.5</t>
  </si>
  <si>
    <t>No items</t>
  </si>
  <si>
    <t>Model ID</t>
  </si>
  <si>
    <t>Provider</t>
  </si>
  <si>
    <t>Input original currency/M</t>
  </si>
  <si>
    <t>Output original currency/M</t>
  </si>
  <si>
    <t>Cache read original currency/M</t>
  </si>
  <si>
    <t>Cache write original currency/M</t>
  </si>
  <si>
    <t>Source</t>
  </si>
  <si>
    <t>Retrieved at</t>
  </si>
  <si>
    <t>Custom</t>
  </si>
  <si>
    <t>Tier details</t>
  </si>
  <si>
    <t>Unsupported</t>
  </si>
  <si>
    <t>Source type</t>
  </si>
  <si>
    <t>Channel</t>
  </si>
  <si>
    <t>Region</t>
  </si>
  <si>
    <t>Original currency</t>
  </si>
  <si>
    <t>USD per currency unit</t>
  </si>
  <si>
    <t>FX source</t>
  </si>
  <si>
    <t>FX retrieval date</t>
  </si>
  <si>
    <t>Synthetic fixture</t>
  </si>
  <si>
    <t>Single agent invocation v1</t>
  </si>
  <si>
    <t>2026-10-05</t>
  </si>
  <si>
    <t>vendor_api</t>
  </si>
  <si>
    <t>USD</t>
  </si>
  <si>
    <t>Item</t>
  </si>
  <si>
    <t>Detail</t>
  </si>
  <si>
    <t>Estimate</t>
  </si>
  <si>
    <t>One invocation per step fixture</t>
  </si>
  <si>
    <t>Notes</t>
  </si>
  <si>
    <t>Currency</t>
  </si>
  <si>
    <t>Calculation editing</t>
  </si>
  <si>
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</si>
  <si>
    <t>Volume and category totals</t>
  </si>
  <si>
    <t>Volume derives direct baseline invocations and records app-precomputed derived invocations. Category totals sums the Volume sheet by complexity. These totals exclude scenario volume multipliers; Calculations contains scenario-effective volumes.</t>
  </si>
  <si>
    <t>Agent links</t>
  </si>
  <si>
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</si>
  <si>
    <t>Category token usage</t>
  </si>
  <si>
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</si>
  <si>
    <t>Category token costs</t>
  </si>
  <si>
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</si>
  <si>
    <t>Monthly category summary</t>
  </si>
  <si>
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</si>
  <si>
    <t>Tier rates</t>
  </si>
  <si>
    <t>Rates in Calculations are selected using the exported per-call input size. After crossing a tier threshold, update the applicable rates from Pricing or re-export from the app.</t>
  </si>
  <si>
    <t>Partial totals</t>
  </si>
  <si>
    <t>Incomplete rows have blank costs; summaries are known subtotals, not full budgets.</t>
  </si>
  <si>
    <t>Annualization</t>
  </si>
  <si>
    <t>First year = 12 identical recurring months + one-time items. Additional monthly/one-time values in Summary are editable frozen inputs.</t>
  </si>
  <si>
    <t>Scope</t>
  </si>
  <si>
    <t>Text tokens, including total billable reasoning in output. Cache writes use supplied rates. Per-agent tool rows and the simple suite harness are separate. Cache storage, multimodal charges, and advanced platform billing require additional items/custom rates.</t>
  </si>
  <si>
    <t>Scenarios</t>
  </si>
  <si>
    <t>Planning assumptions, not statistical confidence intervals. Execution fields in Calculations are scenario-effective values.</t>
  </si>
  <si>
    <t>Detailed workflows</t>
  </si>
  <si>
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</si>
  <si>
    <t>Tools, harness, and use cases</t>
  </si>
  <si>
    <t>Tool costs and Harness feed the Summary recurring total through formulas. Use cases stores the precomputed fully loaded DAG cost per completion; edit the graph in the app and re-export. A fixed harness charge stays in the suite total even at zero workload.</t>
  </si>
  <si>
    <t>Original currency and FX</t>
  </si>
  <si>
    <t>Pricing records original-currency rates and the user-supplied USD conversion snapshot. Calculations stores the selected effective USD rates; changing FX in Pricing does not update Calculations until re-export.</t>
  </si>
  <si>
    <t>Version</t>
  </si>
  <si>
    <t>Schema 10; defaults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</si>
</sst>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;[Red]-#,##0.000000"/>
  </numFmts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53C39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8" customWidth="1"/>
    <col min="3" max="3" width="25" customWidth="1"/>
    <col min="4" max="4" width="24" customWidth="1"/>
    <col min="5" max="5" width="16" customWidth="1"/>
    <col min="6" max="6" width="18" customWidth="1"/>
    <col min="7" max="7" width="17" customWidth="1"/>
    <col min="8" max="8" width="16" customWidth="1"/>
    <col min="9" max="9" width="19" customWidth="1"/>
    <col min="10" max="10" width="22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f>SUM(Calculations!X2:X4)</f>
      </c>
      <c r="C2" s="2">
        <v>0</v>
      </c>
      <c r="D2" s="2">
        <f>B2+C2+I2+J2</f>
      </c>
      <c r="E2" s="2">
        <v>0</v>
      </c>
      <c r="F2" s="2">
        <f>D2+E2</f>
      </c>
      <c r="G2" s="2">
        <f>D2*12+E2</f>
      </c>
      <c r="H2" t="s">
        <v>11</v>
      </c>
      <c r="I2" s="2">
        <f>0</f>
      </c>
      <c r="J2" s="2">
        <f>Harness!I2</f>
      </c>
    </row>
    <row r="3" spans="1:10" x14ac:dyDescent="0.25">
      <c r="A3" t="s">
        <v>12</v>
      </c>
      <c r="B3" s="2">
        <f>SUM(Calculations!X5:X7)</f>
      </c>
      <c r="C3" s="2">
        <v>0</v>
      </c>
      <c r="D3" s="2">
        <f>B3+C3+I3+J3</f>
      </c>
      <c r="E3" s="2">
        <v>0</v>
      </c>
      <c r="F3" s="2">
        <f>D3+E3</f>
      </c>
      <c r="G3" s="2">
        <f>D3*12+E3</f>
      </c>
      <c r="H3" t="s">
        <v>11</v>
      </c>
      <c r="I3" s="2">
        <f>0</f>
      </c>
      <c r="J3" s="2">
        <f>Harness!I3</f>
      </c>
    </row>
    <row r="4" spans="1:10" x14ac:dyDescent="0.25">
      <c r="A4" t="s">
        <v>13</v>
      </c>
      <c r="B4" s="2">
        <f>SUM(Calculations!X8:X10)</f>
      </c>
      <c r="C4" s="2">
        <v>0</v>
      </c>
      <c r="D4" s="2">
        <f>B4+C4+I4+J4</f>
      </c>
      <c r="E4" s="2">
        <v>0</v>
      </c>
      <c r="F4" s="2">
        <f>D4+E4</f>
      </c>
      <c r="G4" s="2">
        <f>D4*12+E4</f>
      </c>
      <c r="H4" t="s">
        <v>11</v>
      </c>
      <c r="I4" s="2">
        <f>0</f>
      </c>
      <c r="J4" s="2">
        <f>Harness!I4</f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M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38" customWidth="1"/>
    <col min="7" max="7" width="19" customWidth="1"/>
    <col min="8" max="8" width="21" customWidth="1"/>
    <col min="9" max="10" width="16" customWidth="1"/>
    <col min="11" max="11" width="22" customWidth="1"/>
    <col min="12" max="12" width="23" customWidth="1"/>
    <col min="13" max="14" width="16" customWidth="1"/>
    <col min="15" max="15" width="19" customWidth="1"/>
    <col min="16" max="16" width="20" customWidth="1"/>
    <col min="17" max="17" width="16" customWidth="1"/>
    <col min="18" max="18" width="21" customWidth="1"/>
    <col min="19" max="19" width="22" customWidth="1"/>
    <col min="20" max="21" width="16" customWidth="1"/>
    <col min="22" max="22" width="17" customWidth="1"/>
    <col min="23" max="24" width="18" customWidth="1"/>
    <col min="25" max="26" width="16" customWidth="1"/>
    <col min="27" max="27" width="18" customWidth="1"/>
    <col min="28" max="28" width="29" customWidth="1"/>
    <col min="29" max="29" width="22" customWidth="1"/>
    <col min="30" max="30" width="33" customWidth="1"/>
    <col min="31" max="31" width="25" customWidth="1"/>
    <col min="32" max="32" width="16" customWidth="1"/>
    <col min="33" max="33" width="30" customWidth="1"/>
    <col min="34" max="35" width="27" customWidth="1"/>
    <col min="36" max="36" width="38" customWidth="1"/>
    <col min="37" max="37" width="27" customWidth="1"/>
    <col min="38" max="39" width="16" customWidth="1"/>
  </cols>
  <sheetData>
    <row r="1" ht="32" customHeight="1" spans="1:39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1</v>
      </c>
      <c r="Y1" s="1" t="s">
        <v>7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</row>
    <row r="2" spans="1:39" x14ac:dyDescent="0.25">
      <c r="A2" t="s">
        <v>10</v>
      </c>
      <c r="B2" t="s">
        <v>50</v>
      </c>
      <c r="C2" t="s">
        <v>51</v>
      </c>
      <c r="D2" t="s">
        <v>52</v>
      </c>
      <c r="E2" s="2">
        <v>1</v>
      </c>
      <c r="F2" s="2">
        <f>IF(Z2="daily_users",AA2*AB2*AC2,AD2)*AE2</f>
      </c>
      <c r="G2" s="2">
        <f>AJ2*AK2</f>
      </c>
      <c r="H2" s="2">
        <v>0</v>
      </c>
      <c r="I2" s="2">
        <v>750</v>
      </c>
      <c r="J2" s="2">
        <v>0</v>
      </c>
      <c r="K2" s="2">
        <v>0</v>
      </c>
      <c r="L2" s="2">
        <v>0</v>
      </c>
      <c r="M2" s="2">
        <v>2</v>
      </c>
      <c r="N2" s="2">
        <v>0</v>
      </c>
      <c r="Q2" s="2">
        <f>E2*F2*G2*(1+H2)</f>
      </c>
      <c r="R2" s="2">
        <f>Q2*I2</f>
      </c>
      <c r="S2" s="2">
        <f>Q2*J2</f>
      </c>
      <c r="T2" s="2">
        <f>R2*(1-K2-L2)*M2/1000000</f>
      </c>
      <c r="U2" s="2">
        <f>S2*N2/1000000</f>
      </c>
      <c r="V2" s="2">
        <f>R2*K2*O2/1000000</f>
      </c>
      <c r="W2" s="2">
        <f>R2*L2*P2/1000000</f>
      </c>
      <c r="X2" s="2">
        <f>SUM(T2:W2)</f>
      </c>
      <c r="Y2" t="s">
        <v>11</v>
      </c>
      <c r="Z2" t="s">
        <v>53</v>
      </c>
      <c r="AA2" s="2">
        <v>10</v>
      </c>
      <c r="AB2" s="2">
        <v>1</v>
      </c>
      <c r="AC2" s="2">
        <v>30</v>
      </c>
      <c r="AD2" s="2">
        <v>1000</v>
      </c>
      <c r="AE2" s="2">
        <v>1</v>
      </c>
      <c r="AF2" t="s">
        <v>54</v>
      </c>
      <c r="AG2" s="2">
        <f>R2*(1-K2-L2)</f>
      </c>
      <c r="AH2" s="2">
        <f>R2*K2</f>
      </c>
      <c r="AI2" s="2">
        <f>R2*L2</f>
      </c>
      <c r="AJ2" s="2">
        <v>1</v>
      </c>
      <c r="AK2" s="2">
        <v>1</v>
      </c>
      <c r="AL2" t="s">
        <v>55</v>
      </c>
    </row>
    <row r="3" spans="1:39" x14ac:dyDescent="0.25">
      <c r="A3" t="s">
        <v>10</v>
      </c>
      <c r="B3" t="s">
        <v>56</v>
      </c>
      <c r="C3" t="s">
        <v>51</v>
      </c>
      <c r="D3" t="s">
        <v>52</v>
      </c>
      <c r="E3" s="2">
        <v>1</v>
      </c>
      <c r="F3" s="2">
        <v>240</v>
      </c>
      <c r="G3" s="2">
        <f>AJ3*AK3</f>
      </c>
      <c r="H3" s="2">
        <v>0</v>
      </c>
      <c r="I3" s="2">
        <v>750</v>
      </c>
      <c r="J3" s="2">
        <v>0</v>
      </c>
      <c r="K3" s="2">
        <v>0</v>
      </c>
      <c r="L3" s="2">
        <v>0</v>
      </c>
      <c r="M3" s="2">
        <v>2</v>
      </c>
      <c r="N3" s="2">
        <v>0</v>
      </c>
      <c r="Q3" s="2">
        <f>E3*F3*G3*(1+H3)</f>
      </c>
      <c r="R3" s="2">
        <f>Q3*I3</f>
      </c>
      <c r="S3" s="2">
        <f>Q3*J3</f>
      </c>
      <c r="T3" s="2">
        <f>R3*(1-K3-L3)*M3/1000000</f>
      </c>
      <c r="U3" s="2">
        <f>S3*N3/1000000</f>
      </c>
      <c r="V3" s="2">
        <f>R3*K3*O3/1000000</f>
      </c>
      <c r="W3" s="2">
        <f>R3*L3*P3/1000000</f>
      </c>
      <c r="X3" s="2">
        <f>SUM(T3:W3)</f>
      </c>
      <c r="Y3" t="s">
        <v>11</v>
      </c>
      <c r="Z3" t="s">
        <v>57</v>
      </c>
      <c r="AA3" s="2">
        <v>0</v>
      </c>
      <c r="AB3" s="2">
        <v>1</v>
      </c>
      <c r="AC3" s="2">
        <v>30</v>
      </c>
      <c r="AD3" s="2">
        <v>1000</v>
      </c>
      <c r="AE3" s="2">
        <v>1</v>
      </c>
      <c r="AF3" t="s">
        <v>54</v>
      </c>
      <c r="AG3" s="2">
        <f>R3*(1-K3-L3)</f>
      </c>
      <c r="AH3" s="2">
        <f>R3*K3</f>
      </c>
      <c r="AI3" s="2">
        <f>R3*L3</f>
      </c>
      <c r="AJ3" s="2">
        <v>1</v>
      </c>
      <c r="AK3" s="2">
        <v>1</v>
      </c>
      <c r="AL3" t="s">
        <v>58</v>
      </c>
    </row>
    <row r="4" spans="1:39" x14ac:dyDescent="0.25">
      <c r="A4" t="s">
        <v>10</v>
      </c>
      <c r="B4" t="s">
        <v>59</v>
      </c>
      <c r="C4" t="s">
        <v>51</v>
      </c>
      <c r="D4" t="s">
        <v>60</v>
      </c>
      <c r="E4" s="2">
        <v>1</v>
      </c>
      <c r="F4" s="2">
        <v>60</v>
      </c>
      <c r="G4" s="2">
        <f>AJ4*AK4</f>
      </c>
      <c r="H4" s="2">
        <v>0</v>
      </c>
      <c r="I4" s="2">
        <v>750</v>
      </c>
      <c r="J4" s="2">
        <v>0</v>
      </c>
      <c r="K4" s="2">
        <v>0</v>
      </c>
      <c r="L4" s="2">
        <v>0</v>
      </c>
      <c r="M4" s="2">
        <v>10</v>
      </c>
      <c r="N4" s="2">
        <v>0</v>
      </c>
      <c r="Q4" s="2">
        <f>E4*F4*G4*(1+H4)</f>
      </c>
      <c r="R4" s="2">
        <f>Q4*I4</f>
      </c>
      <c r="S4" s="2">
        <f>Q4*J4</f>
      </c>
      <c r="T4" s="2">
        <f>R4*(1-K4-L4)*M4/1000000</f>
      </c>
      <c r="U4" s="2">
        <f>S4*N4/1000000</f>
      </c>
      <c r="V4" s="2">
        <f>R4*K4*O4/1000000</f>
      </c>
      <c r="W4" s="2">
        <f>R4*L4*P4/1000000</f>
      </c>
      <c r="X4" s="2">
        <f>SUM(T4:W4)</f>
      </c>
      <c r="Y4" t="s">
        <v>11</v>
      </c>
      <c r="Z4" t="s">
        <v>57</v>
      </c>
      <c r="AA4" s="2">
        <v>0</v>
      </c>
      <c r="AB4" s="2">
        <v>1</v>
      </c>
      <c r="AC4" s="2">
        <v>30</v>
      </c>
      <c r="AD4" s="2">
        <v>1000</v>
      </c>
      <c r="AE4" s="2">
        <v>1</v>
      </c>
      <c r="AF4" t="s">
        <v>54</v>
      </c>
      <c r="AG4" s="2">
        <f>R4*(1-K4-L4)</f>
      </c>
      <c r="AH4" s="2">
        <f>R4*K4</f>
      </c>
      <c r="AI4" s="2">
        <f>R4*L4</f>
      </c>
      <c r="AJ4" s="2">
        <v>1</v>
      </c>
      <c r="AK4" s="2">
        <v>1</v>
      </c>
      <c r="AL4" t="s">
        <v>61</v>
      </c>
    </row>
    <row r="5" spans="1:39" x14ac:dyDescent="0.25">
      <c r="A5" t="s">
        <v>12</v>
      </c>
      <c r="B5" t="s">
        <v>50</v>
      </c>
      <c r="C5" t="s">
        <v>51</v>
      </c>
      <c r="D5" t="s">
        <v>52</v>
      </c>
      <c r="E5" s="2">
        <v>1</v>
      </c>
      <c r="F5" s="2">
        <f>IF(Z5="daily_users",AA5*AB5*AC5,AD5)*AE5</f>
      </c>
      <c r="G5" s="2">
        <f>AJ5*AK5</f>
      </c>
      <c r="H5" s="2">
        <v>0</v>
      </c>
      <c r="I5" s="2">
        <v>1000</v>
      </c>
      <c r="J5" s="2">
        <v>0</v>
      </c>
      <c r="K5" s="2">
        <v>0</v>
      </c>
      <c r="L5" s="2">
        <v>0</v>
      </c>
      <c r="M5" s="2">
        <v>2</v>
      </c>
      <c r="N5" s="2">
        <v>0</v>
      </c>
      <c r="Q5" s="2">
        <f>E5*F5*G5*(1+H5)</f>
      </c>
      <c r="R5" s="2">
        <f>Q5*I5</f>
      </c>
      <c r="S5" s="2">
        <f>Q5*J5</f>
      </c>
      <c r="T5" s="2">
        <f>R5*(1-K5-L5)*M5/1000000</f>
      </c>
      <c r="U5" s="2">
        <f>S5*N5/1000000</f>
      </c>
      <c r="V5" s="2">
        <f>R5*K5*O5/1000000</f>
      </c>
      <c r="W5" s="2">
        <f>R5*L5*P5/1000000</f>
      </c>
      <c r="X5" s="2">
        <f>SUM(T5:W5)</f>
      </c>
      <c r="Y5" t="s">
        <v>11</v>
      </c>
      <c r="Z5" t="s">
        <v>53</v>
      </c>
      <c r="AA5" s="2">
        <v>10</v>
      </c>
      <c r="AB5" s="2">
        <v>1</v>
      </c>
      <c r="AC5" s="2">
        <v>30</v>
      </c>
      <c r="AD5" s="2">
        <v>1000</v>
      </c>
      <c r="AE5" s="2">
        <v>1</v>
      </c>
      <c r="AF5" t="s">
        <v>54</v>
      </c>
      <c r="AG5" s="2">
        <f>R5*(1-K5-L5)</f>
      </c>
      <c r="AH5" s="2">
        <f>R5*K5</f>
      </c>
      <c r="AI5" s="2">
        <f>R5*L5</f>
      </c>
      <c r="AJ5" s="2">
        <v>1</v>
      </c>
      <c r="AK5" s="2">
        <v>1</v>
      </c>
      <c r="AL5" t="s">
        <v>55</v>
      </c>
    </row>
    <row r="6" spans="1:39" x14ac:dyDescent="0.25">
      <c r="A6" t="s">
        <v>12</v>
      </c>
      <c r="B6" t="s">
        <v>56</v>
      </c>
      <c r="C6" t="s">
        <v>51</v>
      </c>
      <c r="D6" t="s">
        <v>52</v>
      </c>
      <c r="E6" s="2">
        <v>1</v>
      </c>
      <c r="F6" s="2">
        <v>240</v>
      </c>
      <c r="G6" s="2">
        <f>AJ6*AK6</f>
      </c>
      <c r="H6" s="2">
        <v>0</v>
      </c>
      <c r="I6" s="2">
        <v>1000</v>
      </c>
      <c r="J6" s="2">
        <v>0</v>
      </c>
      <c r="K6" s="2">
        <v>0</v>
      </c>
      <c r="L6" s="2">
        <v>0</v>
      </c>
      <c r="M6" s="2">
        <v>2</v>
      </c>
      <c r="N6" s="2">
        <v>0</v>
      </c>
      <c r="Q6" s="2">
        <f>E6*F6*G6*(1+H6)</f>
      </c>
      <c r="R6" s="2">
        <f>Q6*I6</f>
      </c>
      <c r="S6" s="2">
        <f>Q6*J6</f>
      </c>
      <c r="T6" s="2">
        <f>R6*(1-K6-L6)*M6/1000000</f>
      </c>
      <c r="U6" s="2">
        <f>S6*N6/1000000</f>
      </c>
      <c r="V6" s="2">
        <f>R6*K6*O6/1000000</f>
      </c>
      <c r="W6" s="2">
        <f>R6*L6*P6/1000000</f>
      </c>
      <c r="X6" s="2">
        <f>SUM(T6:W6)</f>
      </c>
      <c r="Y6" t="s">
        <v>11</v>
      </c>
      <c r="Z6" t="s">
        <v>57</v>
      </c>
      <c r="AA6" s="2">
        <v>0</v>
      </c>
      <c r="AB6" s="2">
        <v>1</v>
      </c>
      <c r="AC6" s="2">
        <v>30</v>
      </c>
      <c r="AD6" s="2">
        <v>1000</v>
      </c>
      <c r="AE6" s="2">
        <v>1</v>
      </c>
      <c r="AF6" t="s">
        <v>54</v>
      </c>
      <c r="AG6" s="2">
        <f>R6*(1-K6-L6)</f>
      </c>
      <c r="AH6" s="2">
        <f>R6*K6</f>
      </c>
      <c r="AI6" s="2">
        <f>R6*L6</f>
      </c>
      <c r="AJ6" s="2">
        <v>1</v>
      </c>
      <c r="AK6" s="2">
        <v>1</v>
      </c>
      <c r="AL6" t="s">
        <v>58</v>
      </c>
    </row>
    <row r="7" spans="1:39" x14ac:dyDescent="0.25">
      <c r="A7" t="s">
        <v>12</v>
      </c>
      <c r="B7" t="s">
        <v>59</v>
      </c>
      <c r="C7" t="s">
        <v>51</v>
      </c>
      <c r="D7" t="s">
        <v>60</v>
      </c>
      <c r="E7" s="2">
        <v>1</v>
      </c>
      <c r="F7" s="2">
        <v>60</v>
      </c>
      <c r="G7" s="2">
        <f>AJ7*AK7</f>
      </c>
      <c r="H7" s="2">
        <v>0</v>
      </c>
      <c r="I7" s="2">
        <v>1000</v>
      </c>
      <c r="J7" s="2">
        <v>0</v>
      </c>
      <c r="K7" s="2">
        <v>0</v>
      </c>
      <c r="L7" s="2">
        <v>0</v>
      </c>
      <c r="M7" s="2">
        <v>10</v>
      </c>
      <c r="N7" s="2">
        <v>0</v>
      </c>
      <c r="Q7" s="2">
        <f>E7*F7*G7*(1+H7)</f>
      </c>
      <c r="R7" s="2">
        <f>Q7*I7</f>
      </c>
      <c r="S7" s="2">
        <f>Q7*J7</f>
      </c>
      <c r="T7" s="2">
        <f>R7*(1-K7-L7)*M7/1000000</f>
      </c>
      <c r="U7" s="2">
        <f>S7*N7/1000000</f>
      </c>
      <c r="V7" s="2">
        <f>R7*K7*O7/1000000</f>
      </c>
      <c r="W7" s="2">
        <f>R7*L7*P7/1000000</f>
      </c>
      <c r="X7" s="2">
        <f>SUM(T7:W7)</f>
      </c>
      <c r="Y7" t="s">
        <v>11</v>
      </c>
      <c r="Z7" t="s">
        <v>57</v>
      </c>
      <c r="AA7" s="2">
        <v>0</v>
      </c>
      <c r="AB7" s="2">
        <v>1</v>
      </c>
      <c r="AC7" s="2">
        <v>30</v>
      </c>
      <c r="AD7" s="2">
        <v>1000</v>
      </c>
      <c r="AE7" s="2">
        <v>1</v>
      </c>
      <c r="AF7" t="s">
        <v>54</v>
      </c>
      <c r="AG7" s="2">
        <f>R7*(1-K7-L7)</f>
      </c>
      <c r="AH7" s="2">
        <f>R7*K7</f>
      </c>
      <c r="AI7" s="2">
        <f>R7*L7</f>
      </c>
      <c r="AJ7" s="2">
        <v>1</v>
      </c>
      <c r="AK7" s="2">
        <v>1</v>
      </c>
      <c r="AL7" t="s">
        <v>61</v>
      </c>
    </row>
    <row r="8" spans="1:39" x14ac:dyDescent="0.25">
      <c r="A8" t="s">
        <v>13</v>
      </c>
      <c r="B8" t="s">
        <v>50</v>
      </c>
      <c r="C8" t="s">
        <v>51</v>
      </c>
      <c r="D8" t="s">
        <v>52</v>
      </c>
      <c r="E8" s="2">
        <v>1</v>
      </c>
      <c r="F8" s="2">
        <f>IF(Z8="daily_users",AA8*AB8*AC8,AD8)*AE8</f>
      </c>
      <c r="G8" s="2">
        <f>AJ8*AK8</f>
      </c>
      <c r="H8" s="2">
        <v>0</v>
      </c>
      <c r="I8" s="2">
        <v>1500</v>
      </c>
      <c r="J8" s="2">
        <v>0</v>
      </c>
      <c r="K8" s="2">
        <v>0</v>
      </c>
      <c r="L8" s="2">
        <v>0</v>
      </c>
      <c r="M8" s="2">
        <v>2</v>
      </c>
      <c r="N8" s="2">
        <v>0</v>
      </c>
      <c r="Q8" s="2">
        <f>E8*F8*G8*(1+H8)</f>
      </c>
      <c r="R8" s="2">
        <f>Q8*I8</f>
      </c>
      <c r="S8" s="2">
        <f>Q8*J8</f>
      </c>
      <c r="T8" s="2">
        <f>R8*(1-K8-L8)*M8/1000000</f>
      </c>
      <c r="U8" s="2">
        <f>S8*N8/1000000</f>
      </c>
      <c r="V8" s="2">
        <f>R8*K8*O8/1000000</f>
      </c>
      <c r="W8" s="2">
        <f>R8*L8*P8/1000000</f>
      </c>
      <c r="X8" s="2">
        <f>SUM(T8:W8)</f>
      </c>
      <c r="Y8" t="s">
        <v>11</v>
      </c>
      <c r="Z8" t="s">
        <v>53</v>
      </c>
      <c r="AA8" s="2">
        <v>10</v>
      </c>
      <c r="AB8" s="2">
        <v>1</v>
      </c>
      <c r="AC8" s="2">
        <v>30</v>
      </c>
      <c r="AD8" s="2">
        <v>1000</v>
      </c>
      <c r="AE8" s="2">
        <v>1</v>
      </c>
      <c r="AF8" t="s">
        <v>54</v>
      </c>
      <c r="AG8" s="2">
        <f>R8*(1-K8-L8)</f>
      </c>
      <c r="AH8" s="2">
        <f>R8*K8</f>
      </c>
      <c r="AI8" s="2">
        <f>R8*L8</f>
      </c>
      <c r="AJ8" s="2">
        <v>1</v>
      </c>
      <c r="AK8" s="2">
        <v>1</v>
      </c>
      <c r="AL8" t="s">
        <v>55</v>
      </c>
    </row>
    <row r="9" spans="1:39" x14ac:dyDescent="0.25">
      <c r="A9" t="s">
        <v>13</v>
      </c>
      <c r="B9" t="s">
        <v>56</v>
      </c>
      <c r="C9" t="s">
        <v>51</v>
      </c>
      <c r="D9" t="s">
        <v>52</v>
      </c>
      <c r="E9" s="2">
        <v>1</v>
      </c>
      <c r="F9" s="2">
        <v>240</v>
      </c>
      <c r="G9" s="2">
        <f>AJ9*AK9</f>
      </c>
      <c r="H9" s="2">
        <v>0</v>
      </c>
      <c r="I9" s="2">
        <v>1500</v>
      </c>
      <c r="J9" s="2">
        <v>0</v>
      </c>
      <c r="K9" s="2">
        <v>0</v>
      </c>
      <c r="L9" s="2">
        <v>0</v>
      </c>
      <c r="M9" s="2">
        <v>2</v>
      </c>
      <c r="N9" s="2">
        <v>0</v>
      </c>
      <c r="Q9" s="2">
        <f>E9*F9*G9*(1+H9)</f>
      </c>
      <c r="R9" s="2">
        <f>Q9*I9</f>
      </c>
      <c r="S9" s="2">
        <f>Q9*J9</f>
      </c>
      <c r="T9" s="2">
        <f>R9*(1-K9-L9)*M9/1000000</f>
      </c>
      <c r="U9" s="2">
        <f>S9*N9/1000000</f>
      </c>
      <c r="V9" s="2">
        <f>R9*K9*O9/1000000</f>
      </c>
      <c r="W9" s="2">
        <f>R9*L9*P9/1000000</f>
      </c>
      <c r="X9" s="2">
        <f>SUM(T9:W9)</f>
      </c>
      <c r="Y9" t="s">
        <v>11</v>
      </c>
      <c r="Z9" t="s">
        <v>57</v>
      </c>
      <c r="AA9" s="2">
        <v>0</v>
      </c>
      <c r="AB9" s="2">
        <v>1</v>
      </c>
      <c r="AC9" s="2">
        <v>30</v>
      </c>
      <c r="AD9" s="2">
        <v>1000</v>
      </c>
      <c r="AE9" s="2">
        <v>1</v>
      </c>
      <c r="AF9" t="s">
        <v>54</v>
      </c>
      <c r="AG9" s="2">
        <f>R9*(1-K9-L9)</f>
      </c>
      <c r="AH9" s="2">
        <f>R9*K9</f>
      </c>
      <c r="AI9" s="2">
        <f>R9*L9</f>
      </c>
      <c r="AJ9" s="2">
        <v>1</v>
      </c>
      <c r="AK9" s="2">
        <v>1</v>
      </c>
      <c r="AL9" t="s">
        <v>58</v>
      </c>
    </row>
    <row r="10" spans="1:39" x14ac:dyDescent="0.25">
      <c r="A10" t="s">
        <v>13</v>
      </c>
      <c r="B10" t="s">
        <v>59</v>
      </c>
      <c r="C10" t="s">
        <v>51</v>
      </c>
      <c r="D10" t="s">
        <v>60</v>
      </c>
      <c r="E10" s="2">
        <v>1</v>
      </c>
      <c r="F10" s="2">
        <v>60</v>
      </c>
      <c r="G10" s="2">
        <f>AJ10*AK10</f>
      </c>
      <c r="H10" s="2">
        <v>0</v>
      </c>
      <c r="I10" s="2">
        <v>1500</v>
      </c>
      <c r="J10" s="2">
        <v>0</v>
      </c>
      <c r="K10" s="2">
        <v>0</v>
      </c>
      <c r="L10" s="2">
        <v>0</v>
      </c>
      <c r="M10" s="2">
        <v>10</v>
      </c>
      <c r="N10" s="2">
        <v>0</v>
      </c>
      <c r="Q10" s="2">
        <f>E10*F10*G10*(1+H10)</f>
      </c>
      <c r="R10" s="2">
        <f>Q10*I10</f>
      </c>
      <c r="S10" s="2">
        <f>Q10*J10</f>
      </c>
      <c r="T10" s="2">
        <f>R10*(1-K10-L10)*M10/1000000</f>
      </c>
      <c r="U10" s="2">
        <f>S10*N10/1000000</f>
      </c>
      <c r="V10" s="2">
        <f>R10*K10*O10/1000000</f>
      </c>
      <c r="W10" s="2">
        <f>R10*L10*P10/1000000</f>
      </c>
      <c r="X10" s="2">
        <f>SUM(T10:W10)</f>
      </c>
      <c r="Y10" t="s">
        <v>11</v>
      </c>
      <c r="Z10" t="s">
        <v>57</v>
      </c>
      <c r="AA10" s="2">
        <v>0</v>
      </c>
      <c r="AB10" s="2">
        <v>1</v>
      </c>
      <c r="AC10" s="2">
        <v>30</v>
      </c>
      <c r="AD10" s="2">
        <v>1000</v>
      </c>
      <c r="AE10" s="2">
        <v>1</v>
      </c>
      <c r="AF10" t="s">
        <v>54</v>
      </c>
      <c r="AG10" s="2">
        <f>R10*(1-K10-L10)</f>
      </c>
      <c r="AH10" s="2">
        <f>R10*K10</f>
      </c>
      <c r="AI10" s="2">
        <f>R10*L10</f>
      </c>
      <c r="AJ10" s="2">
        <v>1</v>
      </c>
      <c r="AK10" s="2">
        <v>1</v>
      </c>
      <c r="AL10" t="s">
        <v>61</v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9" width="16" customWidth="1"/>
    <col min="10" max="10" width="17" customWidth="1"/>
    <col min="11" max="11" width="23" customWidth="1"/>
    <col min="12" max="13" width="16" customWidth="1"/>
    <col min="14" max="14" width="41" customWidth="1"/>
    <col min="15" max="15" width="16" customWidth="1"/>
    <col min="16" max="16" width="32" customWidth="1"/>
    <col min="17" max="17" width="16" customWidth="1"/>
  </cols>
  <sheetData>
    <row r="1" ht="32" customHeight="1" spans="1:17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</row>
    <row r="2" spans="1:17" x14ac:dyDescent="0.25">
      <c r="A2" t="s">
        <v>50</v>
      </c>
      <c r="B2" t="s">
        <v>54</v>
      </c>
      <c r="C2" s="2">
        <v>1</v>
      </c>
      <c r="D2" s="2">
        <v>1000</v>
      </c>
      <c r="L2" t="s">
        <v>53</v>
      </c>
      <c r="M2" s="2">
        <v>10</v>
      </c>
      <c r="N2" s="2">
        <v>1</v>
      </c>
      <c r="O2" t="s">
        <v>50</v>
      </c>
      <c r="P2" t="s">
        <v>79</v>
      </c>
      <c r="Q2" t="s">
        <v>50</v>
      </c>
    </row>
    <row r="3" spans="1:17" x14ac:dyDescent="0.25">
      <c r="A3" t="s">
        <v>56</v>
      </c>
      <c r="B3" t="s">
        <v>54</v>
      </c>
      <c r="C3" s="2">
        <v>1</v>
      </c>
      <c r="D3" s="2">
        <v>1000</v>
      </c>
      <c r="L3" t="s">
        <v>57</v>
      </c>
      <c r="M3" s="2">
        <v>0</v>
      </c>
      <c r="N3" s="2">
        <v>1</v>
      </c>
      <c r="O3" t="s">
        <v>56</v>
      </c>
      <c r="P3" t="s">
        <v>80</v>
      </c>
      <c r="Q3" t="s">
        <v>56</v>
      </c>
    </row>
    <row r="4" spans="1:17" x14ac:dyDescent="0.25">
      <c r="A4" t="s">
        <v>59</v>
      </c>
      <c r="B4" t="s">
        <v>54</v>
      </c>
      <c r="C4" s="2">
        <v>1</v>
      </c>
      <c r="D4" s="2">
        <v>1000</v>
      </c>
      <c r="L4" t="s">
        <v>57</v>
      </c>
      <c r="M4" s="2">
        <v>0</v>
      </c>
      <c r="N4" s="2">
        <v>1</v>
      </c>
      <c r="O4" t="s">
        <v>59</v>
      </c>
      <c r="P4" t="s">
        <v>81</v>
      </c>
      <c r="Q4" t="s">
        <v>59</v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V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24" customWidth="1"/>
    <col min="7" max="10" width="16" customWidth="1"/>
    <col min="11" max="11" width="17" customWidth="1"/>
    <col min="12" max="15" width="16" customWidth="1"/>
    <col min="16" max="16" width="17" customWidth="1"/>
    <col min="17" max="17" width="23" customWidth="1"/>
    <col min="18" max="18" width="28" customWidth="1"/>
    <col min="19" max="19" width="29" customWidth="1"/>
    <col min="20" max="20" width="18" customWidth="1"/>
    <col min="21" max="21" width="19" customWidth="1"/>
  </cols>
  <sheetData>
    <row r="1" ht="32" customHeight="1" spans="1:22" x14ac:dyDescent="0.25">
      <c r="A1" s="1" t="s">
        <v>78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63</v>
      </c>
      <c r="H1" s="1" t="s">
        <v>87</v>
      </c>
      <c r="I1" s="1" t="s">
        <v>88</v>
      </c>
      <c r="J1" s="1" t="s">
        <v>66</v>
      </c>
      <c r="K1" s="1" t="s">
        <v>89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90</v>
      </c>
      <c r="S1" s="1" t="s">
        <v>91</v>
      </c>
      <c r="T1" s="1" t="s">
        <v>92</v>
      </c>
      <c r="U1" s="1" t="s">
        <v>93</v>
      </c>
      <c r="V1" t="s">
        <v>94</v>
      </c>
    </row>
    <row r="2" spans="1:21" x14ac:dyDescent="0.25">
      <c r="A2" t="s">
        <v>50</v>
      </c>
      <c r="B2" t="s">
        <v>55</v>
      </c>
      <c r="C2" t="s">
        <v>51</v>
      </c>
      <c r="D2" s="2">
        <v>1</v>
      </c>
      <c r="E2" t="s">
        <v>95</v>
      </c>
      <c r="F2" t="s">
        <v>96</v>
      </c>
      <c r="G2" t="s">
        <v>54</v>
      </c>
      <c r="H2" t="s">
        <v>97</v>
      </c>
      <c r="I2" t="s">
        <v>96</v>
      </c>
      <c r="J2" t="s">
        <v>52</v>
      </c>
      <c r="L2" t="s">
        <v>96</v>
      </c>
      <c r="M2" t="s">
        <v>98</v>
      </c>
      <c r="N2" t="s">
        <v>99</v>
      </c>
      <c r="O2" t="s">
        <v>99</v>
      </c>
      <c r="P2" t="s">
        <v>99</v>
      </c>
      <c r="Q2" t="s">
        <v>99</v>
      </c>
    </row>
    <row r="3" spans="1:22" x14ac:dyDescent="0.25">
      <c r="A3" t="s">
        <v>50</v>
      </c>
      <c r="B3" t="s">
        <v>100</v>
      </c>
      <c r="C3" t="s">
        <v>101</v>
      </c>
      <c r="D3" s="2">
        <v>2</v>
      </c>
      <c r="E3" t="s">
        <v>102</v>
      </c>
      <c r="F3" t="s">
        <v>103</v>
      </c>
      <c r="G3" t="s">
        <v>54</v>
      </c>
      <c r="H3" t="s">
        <v>104</v>
      </c>
      <c r="I3" t="s">
        <v>105</v>
      </c>
      <c r="K3" t="s">
        <v>56</v>
      </c>
      <c r="V3" t="s">
        <v>106</v>
      </c>
    </row>
    <row r="4" spans="1:21" x14ac:dyDescent="0.25">
      <c r="A4" t="s">
        <v>50</v>
      </c>
      <c r="B4" t="s">
        <v>100</v>
      </c>
      <c r="C4" t="s">
        <v>101</v>
      </c>
      <c r="D4" s="2">
        <v>2</v>
      </c>
      <c r="E4" t="s">
        <v>102</v>
      </c>
      <c r="F4" t="s">
        <v>103</v>
      </c>
      <c r="G4" t="s">
        <v>54</v>
      </c>
      <c r="H4" t="s">
        <v>107</v>
      </c>
      <c r="I4" t="s">
        <v>108</v>
      </c>
      <c r="K4" t="s">
        <v>59</v>
      </c>
    </row>
    <row r="5" spans="1:21" x14ac:dyDescent="0.25">
      <c r="A5" t="s">
        <v>50</v>
      </c>
      <c r="B5" t="s">
        <v>109</v>
      </c>
      <c r="C5" t="s">
        <v>110</v>
      </c>
      <c r="D5" s="2">
        <v>3</v>
      </c>
      <c r="E5" t="s">
        <v>102</v>
      </c>
      <c r="F5" t="s">
        <v>103</v>
      </c>
      <c r="G5" t="s">
        <v>54</v>
      </c>
      <c r="H5" t="s">
        <v>111</v>
      </c>
      <c r="I5" t="s">
        <v>105</v>
      </c>
      <c r="K5" t="s">
        <v>56</v>
      </c>
    </row>
    <row r="6" spans="1:21" x14ac:dyDescent="0.25">
      <c r="A6" t="s">
        <v>50</v>
      </c>
      <c r="B6" t="s">
        <v>109</v>
      </c>
      <c r="C6" t="s">
        <v>110</v>
      </c>
      <c r="D6" s="2">
        <v>3</v>
      </c>
      <c r="E6" t="s">
        <v>102</v>
      </c>
      <c r="F6" t="s">
        <v>103</v>
      </c>
      <c r="G6" t="s">
        <v>54</v>
      </c>
      <c r="H6" t="s">
        <v>112</v>
      </c>
      <c r="I6" t="s">
        <v>108</v>
      </c>
      <c r="K6" t="s">
        <v>59</v>
      </c>
    </row>
    <row r="7" spans="1:21" x14ac:dyDescent="0.25">
      <c r="A7" t="s">
        <v>56</v>
      </c>
      <c r="B7" t="s">
        <v>58</v>
      </c>
      <c r="C7" t="s">
        <v>51</v>
      </c>
      <c r="D7" s="2">
        <v>1</v>
      </c>
      <c r="E7" t="s">
        <v>95</v>
      </c>
      <c r="F7" t="s">
        <v>96</v>
      </c>
      <c r="G7" t="s">
        <v>54</v>
      </c>
      <c r="H7" t="s">
        <v>113</v>
      </c>
      <c r="I7" t="s">
        <v>96</v>
      </c>
      <c r="J7" t="s">
        <v>52</v>
      </c>
      <c r="L7" t="s">
        <v>96</v>
      </c>
      <c r="M7" t="s">
        <v>98</v>
      </c>
      <c r="N7" t="s">
        <v>99</v>
      </c>
      <c r="O7" t="s">
        <v>99</v>
      </c>
      <c r="P7" t="s">
        <v>99</v>
      </c>
      <c r="Q7" t="s">
        <v>99</v>
      </c>
    </row>
    <row r="8" spans="1:21" x14ac:dyDescent="0.25">
      <c r="A8" t="s">
        <v>59</v>
      </c>
      <c r="B8" t="s">
        <v>61</v>
      </c>
      <c r="C8" t="s">
        <v>51</v>
      </c>
      <c r="D8" s="2">
        <v>1</v>
      </c>
      <c r="E8" t="s">
        <v>95</v>
      </c>
      <c r="F8" t="s">
        <v>96</v>
      </c>
      <c r="G8" t="s">
        <v>54</v>
      </c>
      <c r="H8" t="s">
        <v>114</v>
      </c>
      <c r="I8" t="s">
        <v>96</v>
      </c>
      <c r="J8" t="s">
        <v>60</v>
      </c>
      <c r="L8" t="s">
        <v>96</v>
      </c>
      <c r="M8" t="s">
        <v>98</v>
      </c>
      <c r="N8" t="s">
        <v>99</v>
      </c>
      <c r="O8" t="s">
        <v>99</v>
      </c>
      <c r="P8" t="s">
        <v>99</v>
      </c>
      <c r="Q8" t="s">
        <v>99</v>
      </c>
    </row>
  </sheetData>
  <autoFilter ref="A1:U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19" customWidth="1"/>
    <col min="6" max="7" width="16" customWidth="1"/>
    <col min="8" max="8" width="24" customWidth="1"/>
    <col min="9" max="9" width="37" customWidth="1"/>
    <col min="10" max="10" width="39" customWidth="1"/>
    <col min="11" max="11" width="45" customWidth="1"/>
    <col min="12" max="12" width="16" customWidth="1"/>
  </cols>
  <sheetData>
    <row r="1" ht="32" customHeight="1" spans="1:12" x14ac:dyDescent="0.25">
      <c r="A1" s="1" t="s">
        <v>0</v>
      </c>
      <c r="B1" s="1" t="s">
        <v>14</v>
      </c>
      <c r="C1" s="1" t="s">
        <v>15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7</v>
      </c>
    </row>
    <row r="2" spans="1:12" x14ac:dyDescent="0.25">
      <c r="A2" t="s">
        <v>10</v>
      </c>
      <c r="B2" t="s">
        <v>50</v>
      </c>
      <c r="C2" t="s">
        <v>51</v>
      </c>
      <c r="D2" t="s">
        <v>95</v>
      </c>
      <c r="E2" t="s">
        <v>96</v>
      </c>
      <c r="F2" t="s">
        <v>97</v>
      </c>
      <c r="G2" t="s">
        <v>52</v>
      </c>
      <c r="H2" s="2">
        <v>1</v>
      </c>
      <c r="I2" s="2">
        <v>0.0015</v>
      </c>
      <c r="J2" s="2">
        <v>0.0015</v>
      </c>
      <c r="K2" s="2">
        <v>0.45</v>
      </c>
      <c r="L2" t="s">
        <v>11</v>
      </c>
    </row>
    <row r="3" spans="1:12" x14ac:dyDescent="0.25">
      <c r="A3" t="s">
        <v>10</v>
      </c>
      <c r="B3" t="s">
        <v>50</v>
      </c>
      <c r="C3" t="s">
        <v>101</v>
      </c>
      <c r="D3" t="s">
        <v>102</v>
      </c>
      <c r="E3" t="s">
        <v>103</v>
      </c>
      <c r="F3" t="s">
        <v>104</v>
      </c>
      <c r="G3" t="s">
        <v>56</v>
      </c>
      <c r="H3" s="2">
        <v>0.8</v>
      </c>
      <c r="I3" s="2">
        <v>0.0015</v>
      </c>
      <c r="J3" s="2">
        <v>0.0012</v>
      </c>
      <c r="K3" s="2">
        <v>0.405</v>
      </c>
      <c r="L3" t="s">
        <v>11</v>
      </c>
    </row>
    <row r="4" spans="1:12" x14ac:dyDescent="0.25">
      <c r="A4" t="s">
        <v>10</v>
      </c>
      <c r="B4" t="s">
        <v>50</v>
      </c>
      <c r="C4" t="s">
        <v>101</v>
      </c>
      <c r="D4" t="s">
        <v>102</v>
      </c>
      <c r="E4" t="s">
        <v>103</v>
      </c>
      <c r="F4" t="s">
        <v>107</v>
      </c>
      <c r="G4" t="s">
        <v>59</v>
      </c>
      <c r="H4" s="2">
        <v>0.2</v>
      </c>
      <c r="I4" s="2">
        <v>0.0075</v>
      </c>
      <c r="J4" s="2">
        <v>0.0015</v>
      </c>
      <c r="K4" s="2">
        <v>0.405</v>
      </c>
      <c r="L4" t="s">
        <v>11</v>
      </c>
    </row>
    <row r="5" spans="1:12" x14ac:dyDescent="0.25">
      <c r="A5" t="s">
        <v>10</v>
      </c>
      <c r="B5" t="s">
        <v>50</v>
      </c>
      <c r="C5" t="s">
        <v>110</v>
      </c>
      <c r="D5" t="s">
        <v>102</v>
      </c>
      <c r="E5" t="s">
        <v>103</v>
      </c>
      <c r="F5" t="s">
        <v>111</v>
      </c>
      <c r="G5" t="s">
        <v>56</v>
      </c>
      <c r="H5" s="2">
        <v>0.8</v>
      </c>
      <c r="I5" s="2">
        <v>0.0015</v>
      </c>
      <c r="J5" s="2">
        <v>0.0012</v>
      </c>
      <c r="K5" s="2">
        <v>0.405</v>
      </c>
      <c r="L5" t="s">
        <v>11</v>
      </c>
    </row>
    <row r="6" spans="1:12" x14ac:dyDescent="0.25">
      <c r="A6" t="s">
        <v>10</v>
      </c>
      <c r="B6" t="s">
        <v>50</v>
      </c>
      <c r="C6" t="s">
        <v>110</v>
      </c>
      <c r="D6" t="s">
        <v>102</v>
      </c>
      <c r="E6" t="s">
        <v>103</v>
      </c>
      <c r="F6" t="s">
        <v>112</v>
      </c>
      <c r="G6" t="s">
        <v>59</v>
      </c>
      <c r="H6" s="2">
        <v>0.2</v>
      </c>
      <c r="I6" s="2">
        <v>0.0075</v>
      </c>
      <c r="J6" s="2">
        <v>0.0015</v>
      </c>
      <c r="K6" s="2">
        <v>0.405</v>
      </c>
      <c r="L6" t="s">
        <v>11</v>
      </c>
    </row>
    <row r="7" spans="1:12" x14ac:dyDescent="0.25">
      <c r="A7" t="s">
        <v>10</v>
      </c>
      <c r="B7" t="s">
        <v>56</v>
      </c>
      <c r="C7" t="s">
        <v>51</v>
      </c>
      <c r="D7" t="s">
        <v>95</v>
      </c>
      <c r="E7" t="s">
        <v>96</v>
      </c>
      <c r="F7" t="s">
        <v>113</v>
      </c>
      <c r="G7" t="s">
        <v>52</v>
      </c>
      <c r="H7" s="2">
        <v>1</v>
      </c>
      <c r="I7" s="2">
        <v>0.0015</v>
      </c>
      <c r="J7" s="2">
        <v>0.0015</v>
      </c>
      <c r="K7" s="2">
        <v>0.36</v>
      </c>
      <c r="L7" t="s">
        <v>11</v>
      </c>
    </row>
    <row r="8" spans="1:12" x14ac:dyDescent="0.25">
      <c r="A8" t="s">
        <v>10</v>
      </c>
      <c r="B8" t="s">
        <v>59</v>
      </c>
      <c r="C8" t="s">
        <v>51</v>
      </c>
      <c r="D8" t="s">
        <v>95</v>
      </c>
      <c r="E8" t="s">
        <v>96</v>
      </c>
      <c r="F8" t="s">
        <v>114</v>
      </c>
      <c r="G8" t="s">
        <v>60</v>
      </c>
      <c r="H8" s="2">
        <v>1</v>
      </c>
      <c r="I8" s="2">
        <v>0.0075</v>
      </c>
      <c r="J8" s="2">
        <v>0.0075</v>
      </c>
      <c r="K8" s="2">
        <v>0.45</v>
      </c>
      <c r="L8" t="s">
        <v>11</v>
      </c>
    </row>
    <row r="9" spans="1:12" x14ac:dyDescent="0.25">
      <c r="A9" t="s">
        <v>12</v>
      </c>
      <c r="B9" t="s">
        <v>50</v>
      </c>
      <c r="C9" t="s">
        <v>51</v>
      </c>
      <c r="D9" t="s">
        <v>95</v>
      </c>
      <c r="E9" t="s">
        <v>96</v>
      </c>
      <c r="F9" t="s">
        <v>97</v>
      </c>
      <c r="G9" t="s">
        <v>52</v>
      </c>
      <c r="H9" s="2">
        <v>1</v>
      </c>
      <c r="I9" s="2">
        <v>0.002</v>
      </c>
      <c r="J9" s="2">
        <v>0.002</v>
      </c>
      <c r="K9" s="2">
        <v>0.6</v>
      </c>
      <c r="L9" t="s">
        <v>11</v>
      </c>
    </row>
    <row r="10" spans="1:12" x14ac:dyDescent="0.25">
      <c r="A10" t="s">
        <v>12</v>
      </c>
      <c r="B10" t="s">
        <v>50</v>
      </c>
      <c r="C10" t="s">
        <v>101</v>
      </c>
      <c r="D10" t="s">
        <v>102</v>
      </c>
      <c r="E10" t="s">
        <v>103</v>
      </c>
      <c r="F10" t="s">
        <v>104</v>
      </c>
      <c r="G10" t="s">
        <v>56</v>
      </c>
      <c r="H10" s="2">
        <v>0.8</v>
      </c>
      <c r="I10" s="2">
        <v>0.002</v>
      </c>
      <c r="J10" s="2">
        <v>0.0016</v>
      </c>
      <c r="K10" s="2">
        <v>0.54</v>
      </c>
      <c r="L10" t="s">
        <v>11</v>
      </c>
    </row>
    <row r="11" spans="1:12" x14ac:dyDescent="0.25">
      <c r="A11" t="s">
        <v>12</v>
      </c>
      <c r="B11" t="s">
        <v>50</v>
      </c>
      <c r="C11" t="s">
        <v>101</v>
      </c>
      <c r="D11" t="s">
        <v>102</v>
      </c>
      <c r="E11" t="s">
        <v>103</v>
      </c>
      <c r="F11" t="s">
        <v>107</v>
      </c>
      <c r="G11" t="s">
        <v>59</v>
      </c>
      <c r="H11" s="2">
        <v>0.2</v>
      </c>
      <c r="I11" s="2">
        <v>0.01</v>
      </c>
      <c r="J11" s="2">
        <v>0.002</v>
      </c>
      <c r="K11" s="2">
        <v>0.54</v>
      </c>
      <c r="L11" t="s">
        <v>11</v>
      </c>
    </row>
    <row r="12" spans="1:12" x14ac:dyDescent="0.25">
      <c r="A12" t="s">
        <v>12</v>
      </c>
      <c r="B12" t="s">
        <v>50</v>
      </c>
      <c r="C12" t="s">
        <v>110</v>
      </c>
      <c r="D12" t="s">
        <v>102</v>
      </c>
      <c r="E12" t="s">
        <v>103</v>
      </c>
      <c r="F12" t="s">
        <v>111</v>
      </c>
      <c r="G12" t="s">
        <v>56</v>
      </c>
      <c r="H12" s="2">
        <v>0.8</v>
      </c>
      <c r="I12" s="2">
        <v>0.002</v>
      </c>
      <c r="J12" s="2">
        <v>0.0016</v>
      </c>
      <c r="K12" s="2">
        <v>0.54</v>
      </c>
      <c r="L12" t="s">
        <v>11</v>
      </c>
    </row>
    <row r="13" spans="1:12" x14ac:dyDescent="0.25">
      <c r="A13" t="s">
        <v>12</v>
      </c>
      <c r="B13" t="s">
        <v>50</v>
      </c>
      <c r="C13" t="s">
        <v>110</v>
      </c>
      <c r="D13" t="s">
        <v>102</v>
      </c>
      <c r="E13" t="s">
        <v>103</v>
      </c>
      <c r="F13" t="s">
        <v>112</v>
      </c>
      <c r="G13" t="s">
        <v>59</v>
      </c>
      <c r="H13" s="2">
        <v>0.2</v>
      </c>
      <c r="I13" s="2">
        <v>0.01</v>
      </c>
      <c r="J13" s="2">
        <v>0.002</v>
      </c>
      <c r="K13" s="2">
        <v>0.54</v>
      </c>
      <c r="L13" t="s">
        <v>11</v>
      </c>
    </row>
    <row r="14" spans="1:12" x14ac:dyDescent="0.25">
      <c r="A14" t="s">
        <v>12</v>
      </c>
      <c r="B14" t="s">
        <v>56</v>
      </c>
      <c r="C14" t="s">
        <v>51</v>
      </c>
      <c r="D14" t="s">
        <v>95</v>
      </c>
      <c r="E14" t="s">
        <v>96</v>
      </c>
      <c r="F14" t="s">
        <v>113</v>
      </c>
      <c r="G14" t="s">
        <v>52</v>
      </c>
      <c r="H14" s="2">
        <v>1</v>
      </c>
      <c r="I14" s="2">
        <v>0.002</v>
      </c>
      <c r="J14" s="2">
        <v>0.002</v>
      </c>
      <c r="K14" s="2">
        <v>0.48</v>
      </c>
      <c r="L14" t="s">
        <v>11</v>
      </c>
    </row>
    <row r="15" spans="1:12" x14ac:dyDescent="0.25">
      <c r="A15" t="s">
        <v>12</v>
      </c>
      <c r="B15" t="s">
        <v>59</v>
      </c>
      <c r="C15" t="s">
        <v>51</v>
      </c>
      <c r="D15" t="s">
        <v>95</v>
      </c>
      <c r="E15" t="s">
        <v>96</v>
      </c>
      <c r="F15" t="s">
        <v>114</v>
      </c>
      <c r="G15" t="s">
        <v>60</v>
      </c>
      <c r="H15" s="2">
        <v>1</v>
      </c>
      <c r="I15" s="2">
        <v>0.01</v>
      </c>
      <c r="J15" s="2">
        <v>0.01</v>
      </c>
      <c r="K15" s="2">
        <v>0.6</v>
      </c>
      <c r="L15" t="s">
        <v>11</v>
      </c>
    </row>
    <row r="16" spans="1:12" x14ac:dyDescent="0.25">
      <c r="A16" t="s">
        <v>13</v>
      </c>
      <c r="B16" t="s">
        <v>50</v>
      </c>
      <c r="C16" t="s">
        <v>51</v>
      </c>
      <c r="D16" t="s">
        <v>95</v>
      </c>
      <c r="E16" t="s">
        <v>96</v>
      </c>
      <c r="F16" t="s">
        <v>97</v>
      </c>
      <c r="G16" t="s">
        <v>52</v>
      </c>
      <c r="H16" s="2">
        <v>1</v>
      </c>
      <c r="I16" s="2">
        <v>0.003</v>
      </c>
      <c r="J16" s="2">
        <v>0.003</v>
      </c>
      <c r="K16" s="2">
        <v>0.9</v>
      </c>
      <c r="L16" t="s">
        <v>11</v>
      </c>
    </row>
    <row r="17" spans="1:12" x14ac:dyDescent="0.25">
      <c r="A17" t="s">
        <v>13</v>
      </c>
      <c r="B17" t="s">
        <v>50</v>
      </c>
      <c r="C17" t="s">
        <v>101</v>
      </c>
      <c r="D17" t="s">
        <v>102</v>
      </c>
      <c r="E17" t="s">
        <v>103</v>
      </c>
      <c r="F17" t="s">
        <v>104</v>
      </c>
      <c r="G17" t="s">
        <v>56</v>
      </c>
      <c r="H17" s="2">
        <v>0.8</v>
      </c>
      <c r="I17" s="2">
        <v>0.003</v>
      </c>
      <c r="J17" s="2">
        <v>0.0024</v>
      </c>
      <c r="K17" s="2">
        <v>0.81</v>
      </c>
      <c r="L17" t="s">
        <v>11</v>
      </c>
    </row>
    <row r="18" spans="1:12" x14ac:dyDescent="0.25">
      <c r="A18" t="s">
        <v>13</v>
      </c>
      <c r="B18" t="s">
        <v>50</v>
      </c>
      <c r="C18" t="s">
        <v>101</v>
      </c>
      <c r="D18" t="s">
        <v>102</v>
      </c>
      <c r="E18" t="s">
        <v>103</v>
      </c>
      <c r="F18" t="s">
        <v>107</v>
      </c>
      <c r="G18" t="s">
        <v>59</v>
      </c>
      <c r="H18" s="2">
        <v>0.2</v>
      </c>
      <c r="I18" s="2">
        <v>0.015</v>
      </c>
      <c r="J18" s="2">
        <v>0.003</v>
      </c>
      <c r="K18" s="2">
        <v>0.81</v>
      </c>
      <c r="L18" t="s">
        <v>11</v>
      </c>
    </row>
    <row r="19" spans="1:12" x14ac:dyDescent="0.25">
      <c r="A19" t="s">
        <v>13</v>
      </c>
      <c r="B19" t="s">
        <v>50</v>
      </c>
      <c r="C19" t="s">
        <v>110</v>
      </c>
      <c r="D19" t="s">
        <v>102</v>
      </c>
      <c r="E19" t="s">
        <v>103</v>
      </c>
      <c r="F19" t="s">
        <v>111</v>
      </c>
      <c r="G19" t="s">
        <v>56</v>
      </c>
      <c r="H19" s="2">
        <v>0.8</v>
      </c>
      <c r="I19" s="2">
        <v>0.003</v>
      </c>
      <c r="J19" s="2">
        <v>0.0024</v>
      </c>
      <c r="K19" s="2">
        <v>0.81</v>
      </c>
      <c r="L19" t="s">
        <v>11</v>
      </c>
    </row>
    <row r="20" spans="1:12" x14ac:dyDescent="0.25">
      <c r="A20" t="s">
        <v>13</v>
      </c>
      <c r="B20" t="s">
        <v>50</v>
      </c>
      <c r="C20" t="s">
        <v>110</v>
      </c>
      <c r="D20" t="s">
        <v>102</v>
      </c>
      <c r="E20" t="s">
        <v>103</v>
      </c>
      <c r="F20" t="s">
        <v>112</v>
      </c>
      <c r="G20" t="s">
        <v>59</v>
      </c>
      <c r="H20" s="2">
        <v>0.2</v>
      </c>
      <c r="I20" s="2">
        <v>0.015</v>
      </c>
      <c r="J20" s="2">
        <v>0.003</v>
      </c>
      <c r="K20" s="2">
        <v>0.81</v>
      </c>
      <c r="L20" t="s">
        <v>11</v>
      </c>
    </row>
    <row r="21" spans="1:12" x14ac:dyDescent="0.25">
      <c r="A21" t="s">
        <v>13</v>
      </c>
      <c r="B21" t="s">
        <v>56</v>
      </c>
      <c r="C21" t="s">
        <v>51</v>
      </c>
      <c r="D21" t="s">
        <v>95</v>
      </c>
      <c r="E21" t="s">
        <v>96</v>
      </c>
      <c r="F21" t="s">
        <v>113</v>
      </c>
      <c r="G21" t="s">
        <v>52</v>
      </c>
      <c r="H21" s="2">
        <v>1</v>
      </c>
      <c r="I21" s="2">
        <v>0.003</v>
      </c>
      <c r="J21" s="2">
        <v>0.003</v>
      </c>
      <c r="K21" s="2">
        <v>0.72</v>
      </c>
      <c r="L21" t="s">
        <v>11</v>
      </c>
    </row>
    <row r="22" spans="1:12" x14ac:dyDescent="0.25">
      <c r="A22" t="s">
        <v>13</v>
      </c>
      <c r="B22" t="s">
        <v>59</v>
      </c>
      <c r="C22" t="s">
        <v>51</v>
      </c>
      <c r="D22" t="s">
        <v>95</v>
      </c>
      <c r="E22" t="s">
        <v>96</v>
      </c>
      <c r="F22" t="s">
        <v>114</v>
      </c>
      <c r="G22" t="s">
        <v>60</v>
      </c>
      <c r="H22" s="2">
        <v>1</v>
      </c>
      <c r="I22" s="2">
        <v>0.015</v>
      </c>
      <c r="J22" s="2">
        <v>0.015</v>
      </c>
      <c r="K22" s="2">
        <v>0.9</v>
      </c>
      <c r="L22" t="s">
        <v>11</v>
      </c>
    </row>
  </sheetData>
  <autoFilter ref="A1:L2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32" customWidth="1"/>
  </cols>
  <sheetData>
    <row r="1" ht="32" customHeight="1" spans="1:5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x14ac:dyDescent="0.25">
      <c r="A2" t="s">
        <v>50</v>
      </c>
      <c r="B2" t="s">
        <v>50</v>
      </c>
      <c r="C2" t="s">
        <v>50</v>
      </c>
      <c r="D2" t="s">
        <v>50</v>
      </c>
      <c r="E2" t="s">
        <v>79</v>
      </c>
    </row>
    <row r="3" spans="1:5" x14ac:dyDescent="0.25">
      <c r="A3" t="s">
        <v>56</v>
      </c>
      <c r="B3" t="s">
        <v>56</v>
      </c>
      <c r="C3" t="s">
        <v>56</v>
      </c>
      <c r="D3" t="s">
        <v>56</v>
      </c>
      <c r="E3" t="s">
        <v>80</v>
      </c>
    </row>
    <row r="4" spans="1:5" x14ac:dyDescent="0.25">
      <c r="A4" t="s">
        <v>59</v>
      </c>
      <c r="B4" t="s">
        <v>59</v>
      </c>
      <c r="C4" t="s">
        <v>59</v>
      </c>
      <c r="D4" t="s">
        <v>59</v>
      </c>
      <c r="E4" t="s">
        <v>81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26" customWidth="1"/>
    <col min="6" max="6" width="41" customWidth="1"/>
    <col min="7" max="7" width="26" customWidth="1"/>
    <col min="8" max="8" width="41" customWidth="1"/>
    <col min="9" max="9" width="38" customWidth="1"/>
    <col min="10" max="10" width="39" customWidth="1"/>
    <col min="11" max="11" width="16" customWidth="1"/>
    <col min="12" max="12" width="32" customWidth="1"/>
  </cols>
  <sheetData>
    <row r="1" ht="32" customHeight="1" spans="1:12" x14ac:dyDescent="0.25">
      <c r="A1" s="1" t="s">
        <v>14</v>
      </c>
      <c r="B1" s="1" t="s">
        <v>42</v>
      </c>
      <c r="C1" s="1" t="s">
        <v>128</v>
      </c>
      <c r="D1" s="1" t="s">
        <v>36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18</v>
      </c>
      <c r="J1" s="1" t="s">
        <v>133</v>
      </c>
      <c r="K1" s="1" t="s">
        <v>134</v>
      </c>
      <c r="L1" s="1" t="s">
        <v>135</v>
      </c>
    </row>
    <row r="2" spans="1:12" x14ac:dyDescent="0.25">
      <c r="A2" t="s">
        <v>50</v>
      </c>
      <c r="B2" t="s">
        <v>54</v>
      </c>
      <c r="C2" s="2">
        <v>1</v>
      </c>
      <c r="D2" t="s">
        <v>53</v>
      </c>
      <c r="E2" s="2">
        <v>10</v>
      </c>
      <c r="F2" s="2">
        <v>1</v>
      </c>
      <c r="G2" s="2">
        <v>30</v>
      </c>
      <c r="H2" s="2">
        <v>1000</v>
      </c>
      <c r="I2" s="2">
        <f>IF(D2="daily_users",E2*F2*G2,H2)</f>
      </c>
      <c r="J2" s="2">
        <f>C2*I2</f>
      </c>
      <c r="K2" t="s">
        <v>50</v>
      </c>
    </row>
    <row r="3" spans="1:12" x14ac:dyDescent="0.25">
      <c r="A3" t="s">
        <v>56</v>
      </c>
      <c r="B3" t="s">
        <v>54</v>
      </c>
      <c r="C3" s="2">
        <v>1</v>
      </c>
      <c r="D3" t="s">
        <v>57</v>
      </c>
      <c r="E3" s="2">
        <v>0</v>
      </c>
      <c r="F3" s="2">
        <v>1</v>
      </c>
      <c r="G3" s="2">
        <v>30</v>
      </c>
      <c r="H3" s="2">
        <v>1000</v>
      </c>
      <c r="I3" s="2">
        <v>240</v>
      </c>
      <c r="J3" s="2">
        <f>C3*I3</f>
      </c>
      <c r="K3" t="s">
        <v>56</v>
      </c>
      <c r="L3" t="s">
        <v>53</v>
      </c>
    </row>
    <row r="4" spans="1:12" x14ac:dyDescent="0.25">
      <c r="A4" t="s">
        <v>59</v>
      </c>
      <c r="B4" t="s">
        <v>54</v>
      </c>
      <c r="C4" s="2">
        <v>1</v>
      </c>
      <c r="D4" t="s">
        <v>57</v>
      </c>
      <c r="E4" s="2">
        <v>0</v>
      </c>
      <c r="F4" s="2">
        <v>1</v>
      </c>
      <c r="G4" s="2">
        <v>30</v>
      </c>
      <c r="H4" s="2">
        <v>1000</v>
      </c>
      <c r="I4" s="2">
        <v>60</v>
      </c>
      <c r="J4" s="2">
        <f>C4*I4</f>
      </c>
      <c r="K4" t="s">
        <v>59</v>
      </c>
      <c r="L4" t="s">
        <v>53</v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24" customWidth="1"/>
    <col min="6" max="6" width="41" customWidth="1"/>
    <col min="7" max="7" width="26" customWidth="1"/>
    <col min="8" max="11" width="16" customWidth="1"/>
    <col min="12" max="12" width="29" customWidth="1"/>
  </cols>
  <sheetData>
    <row r="1" ht="32" customHeight="1" spans="1:12" x14ac:dyDescent="0.25">
      <c r="A1" s="1" t="s">
        <v>0</v>
      </c>
      <c r="B1" s="1" t="s">
        <v>136</v>
      </c>
      <c r="C1" s="1" t="s">
        <v>137</v>
      </c>
      <c r="D1" s="1" t="s">
        <v>138</v>
      </c>
      <c r="E1" s="1" t="s">
        <v>119</v>
      </c>
      <c r="F1" s="1" t="s">
        <v>139</v>
      </c>
      <c r="G1" s="1" t="s">
        <v>140</v>
      </c>
      <c r="H1" s="1" t="s">
        <v>7</v>
      </c>
      <c r="I1" s="1" t="s">
        <v>141</v>
      </c>
      <c r="J1" s="1" t="s">
        <v>142</v>
      </c>
      <c r="K1" s="1" t="s">
        <v>143</v>
      </c>
      <c r="L1" s="1" t="s">
        <v>144</v>
      </c>
    </row>
    <row r="2" spans="1:12" x14ac:dyDescent="0.25">
      <c r="A2" t="s">
        <v>10</v>
      </c>
      <c r="B2" t="s">
        <v>50</v>
      </c>
      <c r="C2" t="s">
        <v>56</v>
      </c>
      <c r="D2" t="s">
        <v>101</v>
      </c>
      <c r="E2" s="2">
        <v>0.8</v>
      </c>
      <c r="F2" s="2">
        <v>300</v>
      </c>
      <c r="G2" s="2">
        <f>E2*F2*L2</f>
      </c>
      <c r="H2" t="s">
        <v>11</v>
      </c>
      <c r="I2" t="s">
        <v>104</v>
      </c>
      <c r="J2" t="s">
        <v>50</v>
      </c>
      <c r="K2" t="s">
        <v>56</v>
      </c>
      <c r="L2" s="2">
        <v>0.5</v>
      </c>
    </row>
    <row r="3" spans="1:12" x14ac:dyDescent="0.25">
      <c r="A3" t="s">
        <v>10</v>
      </c>
      <c r="B3" t="s">
        <v>50</v>
      </c>
      <c r="C3" t="s">
        <v>59</v>
      </c>
      <c r="D3" t="s">
        <v>101</v>
      </c>
      <c r="E3" s="2">
        <v>0.2</v>
      </c>
      <c r="F3" s="2">
        <v>300</v>
      </c>
      <c r="G3" s="2">
        <f>E3*F3*L3</f>
      </c>
      <c r="H3" t="s">
        <v>11</v>
      </c>
      <c r="I3" t="s">
        <v>107</v>
      </c>
      <c r="J3" t="s">
        <v>50</v>
      </c>
      <c r="K3" t="s">
        <v>59</v>
      </c>
      <c r="L3" s="2">
        <v>0.5</v>
      </c>
    </row>
    <row r="4" spans="1:12" x14ac:dyDescent="0.25">
      <c r="A4" t="s">
        <v>10</v>
      </c>
      <c r="B4" t="s">
        <v>50</v>
      </c>
      <c r="C4" t="s">
        <v>56</v>
      </c>
      <c r="D4" t="s">
        <v>110</v>
      </c>
      <c r="E4" s="2">
        <v>0.8</v>
      </c>
      <c r="F4" s="2">
        <v>300</v>
      </c>
      <c r="G4" s="2">
        <f>E4*F4*L4</f>
      </c>
      <c r="H4" t="s">
        <v>11</v>
      </c>
      <c r="I4" t="s">
        <v>111</v>
      </c>
      <c r="J4" t="s">
        <v>50</v>
      </c>
      <c r="K4" t="s">
        <v>56</v>
      </c>
      <c r="L4" s="2">
        <v>0.5</v>
      </c>
    </row>
    <row r="5" spans="1:12" x14ac:dyDescent="0.25">
      <c r="A5" t="s">
        <v>10</v>
      </c>
      <c r="B5" t="s">
        <v>50</v>
      </c>
      <c r="C5" t="s">
        <v>59</v>
      </c>
      <c r="D5" t="s">
        <v>110</v>
      </c>
      <c r="E5" s="2">
        <v>0.2</v>
      </c>
      <c r="F5" s="2">
        <v>300</v>
      </c>
      <c r="G5" s="2">
        <f>E5*F5*L5</f>
      </c>
      <c r="H5" t="s">
        <v>11</v>
      </c>
      <c r="I5" t="s">
        <v>112</v>
      </c>
      <c r="J5" t="s">
        <v>50</v>
      </c>
      <c r="K5" t="s">
        <v>59</v>
      </c>
      <c r="L5" s="2">
        <v>0.5</v>
      </c>
    </row>
    <row r="6" spans="1:12" x14ac:dyDescent="0.25">
      <c r="A6" t="s">
        <v>12</v>
      </c>
      <c r="B6" t="s">
        <v>50</v>
      </c>
      <c r="C6" t="s">
        <v>56</v>
      </c>
      <c r="D6" t="s">
        <v>101</v>
      </c>
      <c r="E6" s="2">
        <v>0.8</v>
      </c>
      <c r="F6" s="2">
        <v>300</v>
      </c>
      <c r="G6" s="2">
        <f>E6*F6*L6</f>
      </c>
      <c r="H6" t="s">
        <v>11</v>
      </c>
      <c r="I6" t="s">
        <v>104</v>
      </c>
      <c r="J6" t="s">
        <v>50</v>
      </c>
      <c r="K6" t="s">
        <v>56</v>
      </c>
      <c r="L6" s="2">
        <v>0.5</v>
      </c>
    </row>
    <row r="7" spans="1:12" x14ac:dyDescent="0.25">
      <c r="A7" t="s">
        <v>12</v>
      </c>
      <c r="B7" t="s">
        <v>50</v>
      </c>
      <c r="C7" t="s">
        <v>59</v>
      </c>
      <c r="D7" t="s">
        <v>101</v>
      </c>
      <c r="E7" s="2">
        <v>0.2</v>
      </c>
      <c r="F7" s="2">
        <v>300</v>
      </c>
      <c r="G7" s="2">
        <f>E7*F7*L7</f>
      </c>
      <c r="H7" t="s">
        <v>11</v>
      </c>
      <c r="I7" t="s">
        <v>107</v>
      </c>
      <c r="J7" t="s">
        <v>50</v>
      </c>
      <c r="K7" t="s">
        <v>59</v>
      </c>
      <c r="L7" s="2">
        <v>0.5</v>
      </c>
    </row>
    <row r="8" spans="1:12" x14ac:dyDescent="0.25">
      <c r="A8" t="s">
        <v>12</v>
      </c>
      <c r="B8" t="s">
        <v>50</v>
      </c>
      <c r="C8" t="s">
        <v>56</v>
      </c>
      <c r="D8" t="s">
        <v>110</v>
      </c>
      <c r="E8" s="2">
        <v>0.8</v>
      </c>
      <c r="F8" s="2">
        <v>300</v>
      </c>
      <c r="G8" s="2">
        <f>E8*F8*L8</f>
      </c>
      <c r="H8" t="s">
        <v>11</v>
      </c>
      <c r="I8" t="s">
        <v>111</v>
      </c>
      <c r="J8" t="s">
        <v>50</v>
      </c>
      <c r="K8" t="s">
        <v>56</v>
      </c>
      <c r="L8" s="2">
        <v>0.5</v>
      </c>
    </row>
    <row r="9" spans="1:12" x14ac:dyDescent="0.25">
      <c r="A9" t="s">
        <v>12</v>
      </c>
      <c r="B9" t="s">
        <v>50</v>
      </c>
      <c r="C9" t="s">
        <v>59</v>
      </c>
      <c r="D9" t="s">
        <v>110</v>
      </c>
      <c r="E9" s="2">
        <v>0.2</v>
      </c>
      <c r="F9" s="2">
        <v>300</v>
      </c>
      <c r="G9" s="2">
        <f>E9*F9*L9</f>
      </c>
      <c r="H9" t="s">
        <v>11</v>
      </c>
      <c r="I9" t="s">
        <v>112</v>
      </c>
      <c r="J9" t="s">
        <v>50</v>
      </c>
      <c r="K9" t="s">
        <v>59</v>
      </c>
      <c r="L9" s="2">
        <v>0.5</v>
      </c>
    </row>
    <row r="10" spans="1:12" x14ac:dyDescent="0.25">
      <c r="A10" t="s">
        <v>13</v>
      </c>
      <c r="B10" t="s">
        <v>50</v>
      </c>
      <c r="C10" t="s">
        <v>56</v>
      </c>
      <c r="D10" t="s">
        <v>101</v>
      </c>
      <c r="E10" s="2">
        <v>0.8</v>
      </c>
      <c r="F10" s="2">
        <v>300</v>
      </c>
      <c r="G10" s="2">
        <f>E10*F10*L10</f>
      </c>
      <c r="H10" t="s">
        <v>11</v>
      </c>
      <c r="I10" t="s">
        <v>104</v>
      </c>
      <c r="J10" t="s">
        <v>50</v>
      </c>
      <c r="K10" t="s">
        <v>56</v>
      </c>
      <c r="L10" s="2">
        <v>0.5</v>
      </c>
    </row>
    <row r="11" spans="1:12" x14ac:dyDescent="0.25">
      <c r="A11" t="s">
        <v>13</v>
      </c>
      <c r="B11" t="s">
        <v>50</v>
      </c>
      <c r="C11" t="s">
        <v>59</v>
      </c>
      <c r="D11" t="s">
        <v>101</v>
      </c>
      <c r="E11" s="2">
        <v>0.2</v>
      </c>
      <c r="F11" s="2">
        <v>300</v>
      </c>
      <c r="G11" s="2">
        <f>E11*F11*L11</f>
      </c>
      <c r="H11" t="s">
        <v>11</v>
      </c>
      <c r="I11" t="s">
        <v>107</v>
      </c>
      <c r="J11" t="s">
        <v>50</v>
      </c>
      <c r="K11" t="s">
        <v>59</v>
      </c>
      <c r="L11" s="2">
        <v>0.5</v>
      </c>
    </row>
    <row r="12" spans="1:12" x14ac:dyDescent="0.25">
      <c r="A12" t="s">
        <v>13</v>
      </c>
      <c r="B12" t="s">
        <v>50</v>
      </c>
      <c r="C12" t="s">
        <v>56</v>
      </c>
      <c r="D12" t="s">
        <v>110</v>
      </c>
      <c r="E12" s="2">
        <v>0.8</v>
      </c>
      <c r="F12" s="2">
        <v>300</v>
      </c>
      <c r="G12" s="2">
        <f>E12*F12*L12</f>
      </c>
      <c r="H12" t="s">
        <v>11</v>
      </c>
      <c r="I12" t="s">
        <v>111</v>
      </c>
      <c r="J12" t="s">
        <v>50</v>
      </c>
      <c r="K12" t="s">
        <v>56</v>
      </c>
      <c r="L12" s="2">
        <v>0.5</v>
      </c>
    </row>
    <row r="13" spans="1:12" x14ac:dyDescent="0.25">
      <c r="A13" t="s">
        <v>13</v>
      </c>
      <c r="B13" t="s">
        <v>50</v>
      </c>
      <c r="C13" t="s">
        <v>59</v>
      </c>
      <c r="D13" t="s">
        <v>110</v>
      </c>
      <c r="E13" s="2">
        <v>0.2</v>
      </c>
      <c r="F13" s="2">
        <v>300</v>
      </c>
      <c r="G13" s="2">
        <f>E13*F13*L13</f>
      </c>
      <c r="H13" t="s">
        <v>11</v>
      </c>
      <c r="I13" t="s">
        <v>112</v>
      </c>
      <c r="J13" t="s">
        <v>50</v>
      </c>
      <c r="K13" t="s">
        <v>59</v>
      </c>
      <c r="L13" s="2">
        <v>0.5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2" customWidth="1"/>
    <col min="5" max="7" width="19" customWidth="1"/>
    <col min="8" max="10" width="16" customWidth="1"/>
  </cols>
  <sheetData>
    <row r="1" ht="32" customHeight="1" spans="1:10" x14ac:dyDescent="0.25">
      <c r="A1" s="1" t="s">
        <v>0</v>
      </c>
      <c r="B1" s="1" t="s">
        <v>14</v>
      </c>
      <c r="C1" s="1" t="s">
        <v>145</v>
      </c>
      <c r="D1" s="1" t="s">
        <v>146</v>
      </c>
      <c r="E1" s="1" t="s">
        <v>116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48</v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18" customWidth="1"/>
    <col min="5" max="5" width="20" customWidth="1"/>
    <col min="6" max="6" width="17" customWidth="1"/>
    <col min="7" max="7" width="24" customWidth="1"/>
    <col min="8" max="10" width="16" customWidth="1"/>
    <col min="11" max="11" width="27" customWidth="1"/>
  </cols>
  <sheetData>
    <row r="1" ht="32" customHeight="1" spans="1:11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150</v>
      </c>
      <c r="J1" s="1" t="s">
        <v>158</v>
      </c>
      <c r="K1" s="1" t="s">
        <v>159</v>
      </c>
    </row>
    <row r="2" spans="1:11" x14ac:dyDescent="0.25">
      <c r="A2" t="s">
        <v>10</v>
      </c>
      <c r="B2" t="s">
        <v>160</v>
      </c>
      <c r="C2" t="s">
        <v>161</v>
      </c>
      <c r="D2" s="2">
        <v>0</v>
      </c>
      <c r="E2" s="2">
        <v>600</v>
      </c>
      <c r="F2" s="2">
        <v>0</v>
      </c>
      <c r="G2" s="2">
        <v>900</v>
      </c>
      <c r="H2" s="2">
        <v>0</v>
      </c>
      <c r="I2" s="2">
        <f>IF(B2="none",0,D2+E2*F2+G2*H2)</f>
      </c>
      <c r="J2" t="s">
        <v>162</v>
      </c>
      <c r="K2" s="2" t="b">
        <v>1</v>
      </c>
    </row>
    <row r="3" spans="1:11" x14ac:dyDescent="0.25">
      <c r="A3" t="s">
        <v>12</v>
      </c>
      <c r="B3" t="s">
        <v>160</v>
      </c>
      <c r="C3" t="s">
        <v>161</v>
      </c>
      <c r="D3" s="2">
        <v>0</v>
      </c>
      <c r="E3" s="2">
        <v>600</v>
      </c>
      <c r="F3" s="2">
        <v>0</v>
      </c>
      <c r="G3" s="2">
        <v>900</v>
      </c>
      <c r="H3" s="2">
        <v>0</v>
      </c>
      <c r="I3" s="2">
        <f>IF(B3="none",0,D3+E3*F3+G3*H3)</f>
      </c>
      <c r="J3" t="s">
        <v>162</v>
      </c>
      <c r="K3" s="2" t="b">
        <v>1</v>
      </c>
    </row>
    <row r="4" spans="1:11" x14ac:dyDescent="0.25">
      <c r="A4" t="s">
        <v>13</v>
      </c>
      <c r="B4" t="s">
        <v>160</v>
      </c>
      <c r="C4" t="s">
        <v>161</v>
      </c>
      <c r="D4" s="2">
        <v>0</v>
      </c>
      <c r="E4" s="2">
        <v>600</v>
      </c>
      <c r="F4" s="2">
        <v>0</v>
      </c>
      <c r="G4" s="2">
        <v>900</v>
      </c>
      <c r="H4" s="2">
        <v>0</v>
      </c>
      <c r="I4" s="2">
        <f>IF(B4="none",0,D4+E4*F4+G4*H4)</f>
      </c>
      <c r="J4" t="s">
        <v>162</v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2" customWidth="1"/>
    <col min="5" max="5" width="24" customWidth="1"/>
    <col min="6" max="6" width="25" customWidth="1"/>
    <col min="7" max="7" width="24" customWidth="1"/>
    <col min="8" max="8" width="16" customWidth="1"/>
    <col min="9" max="9" width="19" customWidth="1"/>
  </cols>
  <sheetData>
    <row r="1" ht="32" customHeight="1" spans="1:9" x14ac:dyDescent="0.25">
      <c r="A1" s="1" t="s">
        <v>0</v>
      </c>
      <c r="B1" s="1" t="s">
        <v>14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7</v>
      </c>
      <c r="I1" s="1" t="s">
        <v>168</v>
      </c>
    </row>
    <row r="2" spans="1:9" x14ac:dyDescent="0.25">
      <c r="A2" t="s">
        <v>10</v>
      </c>
      <c r="B2" t="s">
        <v>50</v>
      </c>
      <c r="C2" t="s">
        <v>50</v>
      </c>
      <c r="D2" s="2">
        <v>300</v>
      </c>
      <c r="E2" s="2">
        <v>0.0015</v>
      </c>
      <c r="F2" s="2">
        <v>0</v>
      </c>
      <c r="G2" s="2">
        <v>0.0042</v>
      </c>
      <c r="H2" t="s">
        <v>11</v>
      </c>
      <c r="I2" t="s">
        <v>169</v>
      </c>
    </row>
    <row r="3" spans="1:9" x14ac:dyDescent="0.25">
      <c r="A3" t="s">
        <v>10</v>
      </c>
      <c r="B3" t="s">
        <v>56</v>
      </c>
      <c r="C3" t="s">
        <v>56</v>
      </c>
      <c r="D3" s="2">
        <v>240</v>
      </c>
      <c r="E3" s="2">
        <v>0.0015</v>
      </c>
      <c r="F3" s="2">
        <v>0</v>
      </c>
      <c r="G3" s="2">
        <v>0.0015</v>
      </c>
      <c r="H3" t="s">
        <v>11</v>
      </c>
      <c r="I3" t="s">
        <v>169</v>
      </c>
    </row>
    <row r="4" spans="1:9" x14ac:dyDescent="0.25">
      <c r="A4" t="s">
        <v>10</v>
      </c>
      <c r="B4" t="s">
        <v>59</v>
      </c>
      <c r="C4" t="s">
        <v>59</v>
      </c>
      <c r="D4" s="2">
        <v>60</v>
      </c>
      <c r="E4" s="2">
        <v>0.0075</v>
      </c>
      <c r="F4" s="2">
        <v>0</v>
      </c>
      <c r="G4" s="2">
        <v>0.0075</v>
      </c>
      <c r="H4" t="s">
        <v>11</v>
      </c>
      <c r="I4" t="s">
        <v>169</v>
      </c>
    </row>
    <row r="5" spans="1:9" x14ac:dyDescent="0.25">
      <c r="A5" t="s">
        <v>12</v>
      </c>
      <c r="B5" t="s">
        <v>50</v>
      </c>
      <c r="C5" t="s">
        <v>50</v>
      </c>
      <c r="D5" s="2">
        <v>300</v>
      </c>
      <c r="E5" s="2">
        <v>0.002</v>
      </c>
      <c r="F5" s="2">
        <v>0</v>
      </c>
      <c r="G5" s="2">
        <v>0.0056</v>
      </c>
      <c r="H5" t="s">
        <v>11</v>
      </c>
      <c r="I5" t="s">
        <v>169</v>
      </c>
    </row>
    <row r="6" spans="1:9" x14ac:dyDescent="0.25">
      <c r="A6" t="s">
        <v>12</v>
      </c>
      <c r="B6" t="s">
        <v>56</v>
      </c>
      <c r="C6" t="s">
        <v>56</v>
      </c>
      <c r="D6" s="2">
        <v>240</v>
      </c>
      <c r="E6" s="2">
        <v>0.002</v>
      </c>
      <c r="F6" s="2">
        <v>0</v>
      </c>
      <c r="G6" s="2">
        <v>0.002</v>
      </c>
      <c r="H6" t="s">
        <v>11</v>
      </c>
      <c r="I6" t="s">
        <v>169</v>
      </c>
    </row>
    <row r="7" spans="1:9" x14ac:dyDescent="0.25">
      <c r="A7" t="s">
        <v>12</v>
      </c>
      <c r="B7" t="s">
        <v>59</v>
      </c>
      <c r="C7" t="s">
        <v>59</v>
      </c>
      <c r="D7" s="2">
        <v>60</v>
      </c>
      <c r="E7" s="2">
        <v>0.01</v>
      </c>
      <c r="F7" s="2">
        <v>0</v>
      </c>
      <c r="G7" s="2">
        <v>0.01</v>
      </c>
      <c r="H7" t="s">
        <v>11</v>
      </c>
      <c r="I7" t="s">
        <v>169</v>
      </c>
    </row>
    <row r="8" spans="1:9" x14ac:dyDescent="0.25">
      <c r="A8" t="s">
        <v>13</v>
      </c>
      <c r="B8" t="s">
        <v>50</v>
      </c>
      <c r="C8" t="s">
        <v>50</v>
      </c>
      <c r="D8" s="2">
        <v>300</v>
      </c>
      <c r="E8" s="2">
        <v>0.003</v>
      </c>
      <c r="F8" s="2">
        <v>0</v>
      </c>
      <c r="G8" s="2">
        <v>0.0084</v>
      </c>
      <c r="H8" t="s">
        <v>11</v>
      </c>
      <c r="I8" t="s">
        <v>169</v>
      </c>
    </row>
    <row r="9" spans="1:9" x14ac:dyDescent="0.25">
      <c r="A9" t="s">
        <v>13</v>
      </c>
      <c r="B9" t="s">
        <v>56</v>
      </c>
      <c r="C9" t="s">
        <v>56</v>
      </c>
      <c r="D9" s="2">
        <v>240</v>
      </c>
      <c r="E9" s="2">
        <v>0.003</v>
      </c>
      <c r="F9" s="2">
        <v>0</v>
      </c>
      <c r="G9" s="2">
        <v>0.003</v>
      </c>
      <c r="H9" t="s">
        <v>11</v>
      </c>
      <c r="I9" t="s">
        <v>169</v>
      </c>
    </row>
    <row r="10" spans="1:9" x14ac:dyDescent="0.25">
      <c r="A10" t="s">
        <v>13</v>
      </c>
      <c r="B10" t="s">
        <v>59</v>
      </c>
      <c r="C10" t="s">
        <v>59</v>
      </c>
      <c r="D10" s="2">
        <v>60</v>
      </c>
      <c r="E10" s="2">
        <v>0.015</v>
      </c>
      <c r="F10" s="2">
        <v>0</v>
      </c>
      <c r="G10" s="2">
        <v>0.015</v>
      </c>
      <c r="H10" t="s">
        <v>11</v>
      </c>
      <c r="I10" t="s">
        <v>169</v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39" customWidth="1"/>
  </cols>
  <sheetData>
    <row r="1" ht="32" customHeight="1" spans="1:2" x14ac:dyDescent="0.25">
      <c r="A1" s="1" t="s">
        <v>42</v>
      </c>
      <c r="B1" s="1" t="s">
        <v>133</v>
      </c>
    </row>
    <row r="2" spans="1:2" x14ac:dyDescent="0.25">
      <c r="A2" t="s">
        <v>54</v>
      </c>
      <c r="B2" s="2">
        <f>SUMIF(Volume!B2:B4,A2,Volume!J2:J4)</f>
      </c>
    </row>
    <row r="3" spans="1:2" x14ac:dyDescent="0.25">
      <c r="A3" t="s">
        <v>170</v>
      </c>
      <c r="B3" s="2">
        <f>SUMIF(Volume!B2:B4,A3,Volume!J2:J4)</f>
      </c>
    </row>
    <row r="4" spans="1:2" x14ac:dyDescent="0.25">
      <c r="A4" t="s">
        <v>171</v>
      </c>
      <c r="B4" s="2">
        <f>SUMIF(Volume!B2:B4,A4,Volume!J2:J4)</f>
      </c>
    </row>
    <row r="5" spans="1:2" x14ac:dyDescent="0.25">
      <c r="A5" t="s">
        <v>172</v>
      </c>
      <c r="B5" s="2">
        <f>SUMIF(Volume!B2:B4,A5,Volume!J2:J4)</f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2" customWidth="1"/>
    <col min="4" max="5" width="21" customWidth="1"/>
    <col min="6" max="6" width="22" customWidth="1"/>
  </cols>
  <sheetData>
    <row r="1" ht="32" customHeight="1" spans="1:6" x14ac:dyDescent="0.25">
      <c r="A1" s="1" t="s">
        <v>42</v>
      </c>
      <c r="B1" s="1" t="s">
        <v>30</v>
      </c>
      <c r="C1" s="1" t="s">
        <v>31</v>
      </c>
      <c r="D1" s="1" t="s">
        <v>173</v>
      </c>
      <c r="E1" s="1" t="s">
        <v>174</v>
      </c>
      <c r="F1" s="1" t="s">
        <v>39</v>
      </c>
    </row>
    <row r="2" spans="1:6" x14ac:dyDescent="0.25">
      <c r="A2" t="s">
        <v>54</v>
      </c>
      <c r="B2" s="2">
        <f>SUMIFS(Calculations!R2:R10,Calculations!A2:A10,"Expected",Calculations!AF2:AF10,A2)</f>
      </c>
      <c r="C2" s="2">
        <f>SUMIFS(Calculations!S2:S10,Calculations!A2:A10,"Expected",Calculations!AF2:AF10,A2)</f>
      </c>
      <c r="D2" s="2">
        <f>B2+C2</f>
      </c>
      <c r="E2" s="2">
        <f>D2/F2</f>
      </c>
      <c r="F2" s="2">
        <v>30</v>
      </c>
    </row>
    <row r="3" spans="1:6" x14ac:dyDescent="0.25">
      <c r="A3" t="s">
        <v>170</v>
      </c>
      <c r="B3" s="2">
        <f>SUMIFS(Calculations!R2:R10,Calculations!A2:A10,"Expected",Calculations!AF2:AF10,A3)</f>
      </c>
      <c r="C3" s="2">
        <f>SUMIFS(Calculations!S2:S10,Calculations!A2:A10,"Expected",Calculations!AF2:AF10,A3)</f>
      </c>
      <c r="D3" s="2">
        <f>B3+C3</f>
      </c>
      <c r="E3" s="2">
        <f>D3/F3</f>
      </c>
      <c r="F3" s="2">
        <v>30</v>
      </c>
    </row>
    <row r="4" spans="1:6" x14ac:dyDescent="0.25">
      <c r="A4" t="s">
        <v>171</v>
      </c>
      <c r="B4" s="2">
        <f>SUMIFS(Calculations!R2:R10,Calculations!A2:A10,"Expected",Calculations!AF2:AF10,A4)</f>
      </c>
      <c r="C4" s="2">
        <f>SUMIFS(Calculations!S2:S10,Calculations!A2:A10,"Expected",Calculations!AF2:AF10,A4)</f>
      </c>
      <c r="D4" s="2">
        <f>B4+C4</f>
      </c>
      <c r="E4" s="2">
        <f>D4/F4</f>
      </c>
      <c r="F4" s="2">
        <v>30</v>
      </c>
    </row>
    <row r="5" spans="1:6" x14ac:dyDescent="0.25">
      <c r="A5" t="s">
        <v>172</v>
      </c>
      <c r="B5" s="2">
        <f>SUMIFS(Calculations!R2:R10,Calculations!A2:A10,"Expected",Calculations!AF2:AF10,A5)</f>
      </c>
      <c r="C5" s="2">
        <f>SUMIFS(Calculations!S2:S10,Calculations!A2:A10,"Expected",Calculations!AF2:AF10,A5)</f>
      </c>
      <c r="D5" s="2">
        <f>B5+C5</f>
      </c>
      <c r="E5" s="2">
        <f>D5/F5</f>
      </c>
      <c r="F5" s="2">
        <v>30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3" customWidth="1"/>
    <col min="5" max="5" width="24" customWidth="1"/>
    <col min="6" max="6" width="16" customWidth="1"/>
    <col min="7" max="8" width="21" customWidth="1"/>
    <col min="9" max="9" width="22" customWidth="1"/>
  </cols>
  <sheetData>
    <row r="1" ht="32" customHeight="1" spans="1:9" x14ac:dyDescent="0.25">
      <c r="A1" s="1" t="s">
        <v>42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7</v>
      </c>
      <c r="G1" s="1" t="s">
        <v>174</v>
      </c>
      <c r="H1" s="1" t="s">
        <v>179</v>
      </c>
      <c r="I1" s="1" t="s">
        <v>39</v>
      </c>
    </row>
    <row r="2" spans="1:9" x14ac:dyDescent="0.25">
      <c r="A2" t="s">
        <v>54</v>
      </c>
      <c r="B2" t="s">
        <v>180</v>
      </c>
      <c r="C2" s="2">
        <f>SUMIFS(Calculations!AG2:AG10,Calculations!A2:A10,"Expected",Calculations!AF2:AF10,A2)</f>
      </c>
      <c r="D2" s="2">
        <f>SUMIFS(Calculations!T2:T10,Calculations!A2:A10,"Expected",Calculations!AF2:AF10,A2)</f>
      </c>
      <c r="E2" s="2">
        <f>IF(C2=0,"",D2*1000000/C2)</f>
      </c>
      <c r="F2" t="s">
        <v>11</v>
      </c>
      <c r="G2" s="2">
        <f>C2/I2</f>
      </c>
      <c r="H2" s="2">
        <f>D2/I2</f>
      </c>
      <c r="I2" s="2">
        <v>30</v>
      </c>
    </row>
    <row r="3" spans="1:9" x14ac:dyDescent="0.25">
      <c r="A3" t="s">
        <v>54</v>
      </c>
      <c r="B3" t="s">
        <v>181</v>
      </c>
      <c r="C3" s="2">
        <f>SUMIFS(Calculations!AH2:AH10,Calculations!A2:A10,"Expected",Calculations!AF2:AF10,A3)</f>
      </c>
      <c r="D3" s="2">
        <f>SUMIFS(Calculations!V2:V10,Calculations!A2:A10,"Expected",Calculations!AF2:AF10,A3)</f>
      </c>
      <c r="E3" s="2">
        <f>IF(C3=0,"",D3*1000000/C3)</f>
      </c>
      <c r="F3" t="s">
        <v>11</v>
      </c>
      <c r="G3" s="2">
        <f>C3/I3</f>
      </c>
      <c r="H3" s="2">
        <f>D3/I3</f>
      </c>
      <c r="I3" s="2">
        <v>30</v>
      </c>
    </row>
    <row r="4" spans="1:9" x14ac:dyDescent="0.25">
      <c r="A4" t="s">
        <v>54</v>
      </c>
      <c r="B4" t="s">
        <v>182</v>
      </c>
      <c r="C4" s="2">
        <f>SUMIFS(Calculations!AI2:AI10,Calculations!A2:A10,"Expected",Calculations!AF2:AF10,A4)</f>
      </c>
      <c r="D4" s="2">
        <f>SUMIFS(Calculations!W2:W10,Calculations!A2:A10,"Expected",Calculations!AF2:AF10,A4)</f>
      </c>
      <c r="E4" s="2">
        <f>IF(C4=0,"",D4*1000000/C4)</f>
      </c>
      <c r="F4" t="s">
        <v>11</v>
      </c>
      <c r="G4" s="2">
        <f>C4/I4</f>
      </c>
      <c r="H4" s="2">
        <f>D4/I4</f>
      </c>
      <c r="I4" s="2">
        <v>30</v>
      </c>
    </row>
    <row r="5" spans="1:9" x14ac:dyDescent="0.25">
      <c r="A5" t="s">
        <v>54</v>
      </c>
      <c r="B5" t="s">
        <v>183</v>
      </c>
      <c r="C5" s="2">
        <f>SUMIFS(Calculations!S2:S10,Calculations!A2:A10,"Expected",Calculations!AF2:AF10,A5)</f>
      </c>
      <c r="D5" s="2">
        <f>SUMIFS(Calculations!U2:U10,Calculations!A2:A10,"Expected",Calculations!AF2:AF10,A5)</f>
      </c>
      <c r="E5" s="2">
        <f>IF(C5=0,"",D5*1000000/C5)</f>
      </c>
      <c r="F5" t="s">
        <v>11</v>
      </c>
      <c r="G5" s="2">
        <f>C5/I5</f>
      </c>
      <c r="H5" s="2">
        <f>D5/I5</f>
      </c>
      <c r="I5" s="2">
        <v>30</v>
      </c>
    </row>
    <row r="6" spans="1:9" x14ac:dyDescent="0.25">
      <c r="A6" t="s">
        <v>54</v>
      </c>
      <c r="B6" t="s">
        <v>184</v>
      </c>
      <c r="C6" s="2">
        <f>SUM(C2:C5)</f>
      </c>
      <c r="D6" s="2">
        <f>SUM(D2:D5)</f>
      </c>
      <c r="F6" t="s">
        <v>11</v>
      </c>
      <c r="G6" s="2">
        <f>C6/I6</f>
      </c>
      <c r="H6" s="2">
        <f>D6/I6</f>
      </c>
      <c r="I6" s="2">
        <v>30</v>
      </c>
    </row>
    <row r="7" spans="1:9" x14ac:dyDescent="0.25">
      <c r="A7" t="s">
        <v>170</v>
      </c>
      <c r="B7" t="s">
        <v>180</v>
      </c>
      <c r="C7" s="2">
        <f>SUMIFS(Calculations!AG2:AG10,Calculations!A2:A10,"Expected",Calculations!AF2:AF10,A7)</f>
      </c>
      <c r="D7" s="2">
        <f>SUMIFS(Calculations!T2:T10,Calculations!A2:A10,"Expected",Calculations!AF2:AF10,A7)</f>
      </c>
      <c r="E7" s="2">
        <f>IF(C7=0,"",D7*1000000/C7)</f>
      </c>
      <c r="F7" t="s">
        <v>11</v>
      </c>
      <c r="G7" s="2">
        <f>C7/I7</f>
      </c>
      <c r="H7" s="2">
        <f>D7/I7</f>
      </c>
      <c r="I7" s="2">
        <v>30</v>
      </c>
    </row>
    <row r="8" spans="1:9" x14ac:dyDescent="0.25">
      <c r="A8" t="s">
        <v>170</v>
      </c>
      <c r="B8" t="s">
        <v>181</v>
      </c>
      <c r="C8" s="2">
        <f>SUMIFS(Calculations!AH2:AH10,Calculations!A2:A10,"Expected",Calculations!AF2:AF10,A8)</f>
      </c>
      <c r="D8" s="2">
        <f>SUMIFS(Calculations!V2:V10,Calculations!A2:A10,"Expected",Calculations!AF2:AF10,A8)</f>
      </c>
      <c r="E8" s="2">
        <f>IF(C8=0,"",D8*1000000/C8)</f>
      </c>
      <c r="F8" t="s">
        <v>11</v>
      </c>
      <c r="G8" s="2">
        <f>C8/I8</f>
      </c>
      <c r="H8" s="2">
        <f>D8/I8</f>
      </c>
      <c r="I8" s="2">
        <v>30</v>
      </c>
    </row>
    <row r="9" spans="1:9" x14ac:dyDescent="0.25">
      <c r="A9" t="s">
        <v>170</v>
      </c>
      <c r="B9" t="s">
        <v>182</v>
      </c>
      <c r="C9" s="2">
        <f>SUMIFS(Calculations!AI2:AI10,Calculations!A2:A10,"Expected",Calculations!AF2:AF10,A9)</f>
      </c>
      <c r="D9" s="2">
        <f>SUMIFS(Calculations!W2:W10,Calculations!A2:A10,"Expected",Calculations!AF2:AF10,A9)</f>
      </c>
      <c r="E9" s="2">
        <f>IF(C9=0,"",D9*1000000/C9)</f>
      </c>
      <c r="F9" t="s">
        <v>11</v>
      </c>
      <c r="G9" s="2">
        <f>C9/I9</f>
      </c>
      <c r="H9" s="2">
        <f>D9/I9</f>
      </c>
      <c r="I9" s="2">
        <v>30</v>
      </c>
    </row>
    <row r="10" spans="1:9" x14ac:dyDescent="0.25">
      <c r="A10" t="s">
        <v>170</v>
      </c>
      <c r="B10" t="s">
        <v>183</v>
      </c>
      <c r="C10" s="2">
        <f>SUMIFS(Calculations!S2:S10,Calculations!A2:A10,"Expected",Calculations!AF2:AF10,A10)</f>
      </c>
      <c r="D10" s="2">
        <f>SUMIFS(Calculations!U2:U10,Calculations!A2:A10,"Expected",Calculations!AF2:AF10,A10)</f>
      </c>
      <c r="E10" s="2">
        <f>IF(C10=0,"",D10*1000000/C10)</f>
      </c>
      <c r="F10" t="s">
        <v>11</v>
      </c>
      <c r="G10" s="2">
        <f>C10/I10</f>
      </c>
      <c r="H10" s="2">
        <f>D10/I10</f>
      </c>
      <c r="I10" s="2">
        <v>30</v>
      </c>
    </row>
    <row r="11" spans="1:9" x14ac:dyDescent="0.25">
      <c r="A11" t="s">
        <v>170</v>
      </c>
      <c r="B11" t="s">
        <v>184</v>
      </c>
      <c r="C11" s="2">
        <f>SUM(C7:C10)</f>
      </c>
      <c r="D11" s="2">
        <f>SUM(D7:D10)</f>
      </c>
      <c r="F11" t="s">
        <v>11</v>
      </c>
      <c r="G11" s="2">
        <f>C11/I11</f>
      </c>
      <c r="H11" s="2">
        <f>D11/I11</f>
      </c>
      <c r="I11" s="2">
        <v>30</v>
      </c>
    </row>
    <row r="12" spans="1:9" x14ac:dyDescent="0.25">
      <c r="A12" t="s">
        <v>171</v>
      </c>
      <c r="B12" t="s">
        <v>180</v>
      </c>
      <c r="C12" s="2">
        <f>SUMIFS(Calculations!AG2:AG10,Calculations!A2:A10,"Expected",Calculations!AF2:AF10,A12)</f>
      </c>
      <c r="D12" s="2">
        <f>SUMIFS(Calculations!T2:T10,Calculations!A2:A10,"Expected",Calculations!AF2:AF10,A12)</f>
      </c>
      <c r="E12" s="2">
        <f>IF(C12=0,"",D12*1000000/C12)</f>
      </c>
      <c r="F12" t="s">
        <v>11</v>
      </c>
      <c r="G12" s="2">
        <f>C12/I12</f>
      </c>
      <c r="H12" s="2">
        <f>D12/I12</f>
      </c>
      <c r="I12" s="2">
        <v>30</v>
      </c>
    </row>
    <row r="13" spans="1:9" x14ac:dyDescent="0.25">
      <c r="A13" t="s">
        <v>171</v>
      </c>
      <c r="B13" t="s">
        <v>181</v>
      </c>
      <c r="C13" s="2">
        <f>SUMIFS(Calculations!AH2:AH10,Calculations!A2:A10,"Expected",Calculations!AF2:AF10,A13)</f>
      </c>
      <c r="D13" s="2">
        <f>SUMIFS(Calculations!V2:V10,Calculations!A2:A10,"Expected",Calculations!AF2:AF10,A13)</f>
      </c>
      <c r="E13" s="2">
        <f>IF(C13=0,"",D13*1000000/C13)</f>
      </c>
      <c r="F13" t="s">
        <v>11</v>
      </c>
      <c r="G13" s="2">
        <f>C13/I13</f>
      </c>
      <c r="H13" s="2">
        <f>D13/I13</f>
      </c>
      <c r="I13" s="2">
        <v>30</v>
      </c>
    </row>
    <row r="14" spans="1:9" x14ac:dyDescent="0.25">
      <c r="A14" t="s">
        <v>171</v>
      </c>
      <c r="B14" t="s">
        <v>182</v>
      </c>
      <c r="C14" s="2">
        <f>SUMIFS(Calculations!AI2:AI10,Calculations!A2:A10,"Expected",Calculations!AF2:AF10,A14)</f>
      </c>
      <c r="D14" s="2">
        <f>SUMIFS(Calculations!W2:W10,Calculations!A2:A10,"Expected",Calculations!AF2:AF10,A14)</f>
      </c>
      <c r="E14" s="2">
        <f>IF(C14=0,"",D14*1000000/C14)</f>
      </c>
      <c r="F14" t="s">
        <v>11</v>
      </c>
      <c r="G14" s="2">
        <f>C14/I14</f>
      </c>
      <c r="H14" s="2">
        <f>D14/I14</f>
      </c>
      <c r="I14" s="2">
        <v>30</v>
      </c>
    </row>
    <row r="15" spans="1:9" x14ac:dyDescent="0.25">
      <c r="A15" t="s">
        <v>171</v>
      </c>
      <c r="B15" t="s">
        <v>183</v>
      </c>
      <c r="C15" s="2">
        <f>SUMIFS(Calculations!S2:S10,Calculations!A2:A10,"Expected",Calculations!AF2:AF10,A15)</f>
      </c>
      <c r="D15" s="2">
        <f>SUMIFS(Calculations!U2:U10,Calculations!A2:A10,"Expected",Calculations!AF2:AF10,A15)</f>
      </c>
      <c r="E15" s="2">
        <f>IF(C15=0,"",D15*1000000/C15)</f>
      </c>
      <c r="F15" t="s">
        <v>11</v>
      </c>
      <c r="G15" s="2">
        <f>C15/I15</f>
      </c>
      <c r="H15" s="2">
        <f>D15/I15</f>
      </c>
      <c r="I15" s="2">
        <v>30</v>
      </c>
    </row>
    <row r="16" spans="1:9" x14ac:dyDescent="0.25">
      <c r="A16" t="s">
        <v>171</v>
      </c>
      <c r="B16" t="s">
        <v>184</v>
      </c>
      <c r="C16" s="2">
        <f>SUM(C12:C15)</f>
      </c>
      <c r="D16" s="2">
        <f>SUM(D12:D15)</f>
      </c>
      <c r="F16" t="s">
        <v>11</v>
      </c>
      <c r="G16" s="2">
        <f>C16/I16</f>
      </c>
      <c r="H16" s="2">
        <f>D16/I16</f>
      </c>
      <c r="I16" s="2">
        <v>30</v>
      </c>
    </row>
    <row r="17" spans="1:9" x14ac:dyDescent="0.25">
      <c r="A17" t="s">
        <v>172</v>
      </c>
      <c r="B17" t="s">
        <v>180</v>
      </c>
      <c r="C17" s="2">
        <f>SUMIFS(Calculations!AG2:AG10,Calculations!A2:A10,"Expected",Calculations!AF2:AF10,A17)</f>
      </c>
      <c r="D17" s="2">
        <f>SUMIFS(Calculations!T2:T10,Calculations!A2:A10,"Expected",Calculations!AF2:AF10,A17)</f>
      </c>
      <c r="E17" s="2">
        <f>IF(C17=0,"",D17*1000000/C17)</f>
      </c>
      <c r="F17" t="s">
        <v>11</v>
      </c>
      <c r="G17" s="2">
        <f>C17/I17</f>
      </c>
      <c r="H17" s="2">
        <f>D17/I17</f>
      </c>
      <c r="I17" s="2">
        <v>30</v>
      </c>
    </row>
    <row r="18" spans="1:9" x14ac:dyDescent="0.25">
      <c r="A18" t="s">
        <v>172</v>
      </c>
      <c r="B18" t="s">
        <v>181</v>
      </c>
      <c r="C18" s="2">
        <f>SUMIFS(Calculations!AH2:AH10,Calculations!A2:A10,"Expected",Calculations!AF2:AF10,A18)</f>
      </c>
      <c r="D18" s="2">
        <f>SUMIFS(Calculations!V2:V10,Calculations!A2:A10,"Expected",Calculations!AF2:AF10,A18)</f>
      </c>
      <c r="E18" s="2">
        <f>IF(C18=0,"",D18*1000000/C18)</f>
      </c>
      <c r="F18" t="s">
        <v>11</v>
      </c>
      <c r="G18" s="2">
        <f>C18/I18</f>
      </c>
      <c r="H18" s="2">
        <f>D18/I18</f>
      </c>
      <c r="I18" s="2">
        <v>30</v>
      </c>
    </row>
    <row r="19" spans="1:9" x14ac:dyDescent="0.25">
      <c r="A19" t="s">
        <v>172</v>
      </c>
      <c r="B19" t="s">
        <v>182</v>
      </c>
      <c r="C19" s="2">
        <f>SUMIFS(Calculations!AI2:AI10,Calculations!A2:A10,"Expected",Calculations!AF2:AF10,A19)</f>
      </c>
      <c r="D19" s="2">
        <f>SUMIFS(Calculations!W2:W10,Calculations!A2:A10,"Expected",Calculations!AF2:AF10,A19)</f>
      </c>
      <c r="E19" s="2">
        <f>IF(C19=0,"",D19*1000000/C19)</f>
      </c>
      <c r="F19" t="s">
        <v>11</v>
      </c>
      <c r="G19" s="2">
        <f>C19/I19</f>
      </c>
      <c r="H19" s="2">
        <f>D19/I19</f>
      </c>
      <c r="I19" s="2">
        <v>30</v>
      </c>
    </row>
    <row r="20" spans="1:9" x14ac:dyDescent="0.25">
      <c r="A20" t="s">
        <v>172</v>
      </c>
      <c r="B20" t="s">
        <v>183</v>
      </c>
      <c r="C20" s="2">
        <f>SUMIFS(Calculations!S2:S10,Calculations!A2:A10,"Expected",Calculations!AF2:AF10,A20)</f>
      </c>
      <c r="D20" s="2">
        <f>SUMIFS(Calculations!U2:U10,Calculations!A2:A10,"Expected",Calculations!AF2:AF10,A20)</f>
      </c>
      <c r="E20" s="2">
        <f>IF(C20=0,"",D20*1000000/C20)</f>
      </c>
      <c r="F20" t="s">
        <v>11</v>
      </c>
      <c r="G20" s="2">
        <f>C20/I20</f>
      </c>
      <c r="H20" s="2">
        <f>D20/I20</f>
      </c>
      <c r="I20" s="2">
        <v>30</v>
      </c>
    </row>
    <row r="21" spans="1:9" x14ac:dyDescent="0.25">
      <c r="A21" t="s">
        <v>172</v>
      </c>
      <c r="B21" t="s">
        <v>184</v>
      </c>
      <c r="C21" s="2">
        <f>SUM(C17:C20)</f>
      </c>
      <c r="D21" s="2">
        <f>SUM(D17:D20)</f>
      </c>
      <c r="F21" t="s">
        <v>11</v>
      </c>
      <c r="G21" s="2">
        <f>C21/I21</f>
      </c>
      <c r="H21" s="2">
        <f>D21/I21</f>
      </c>
      <c r="I21" s="2">
        <v>30</v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3" customWidth="1"/>
    <col min="4" max="4" width="22" customWidth="1"/>
    <col min="5" max="5" width="24" customWidth="1"/>
    <col min="6" max="6" width="21" customWidth="1"/>
    <col min="7" max="7" width="29" customWidth="1"/>
    <col min="8" max="8" width="25" customWidth="1"/>
    <col min="9" max="9" width="24" customWidth="1"/>
    <col min="10" max="10" width="23" customWidth="1"/>
    <col min="11" max="11" width="16" customWidth="1"/>
  </cols>
  <sheetData>
    <row r="1" ht="32" customHeight="1" spans="1:11" x14ac:dyDescent="0.25">
      <c r="A1" s="1" t="s">
        <v>0</v>
      </c>
      <c r="B1" s="1" t="s">
        <v>30</v>
      </c>
      <c r="C1" s="1" t="s">
        <v>185</v>
      </c>
      <c r="D1" s="1" t="s">
        <v>31</v>
      </c>
      <c r="E1" s="1" t="s">
        <v>186</v>
      </c>
      <c r="F1" s="1" t="s">
        <v>173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7</v>
      </c>
    </row>
    <row r="2" spans="1:11" x14ac:dyDescent="0.25">
      <c r="A2" t="s">
        <v>10</v>
      </c>
      <c r="B2" s="2">
        <f>SUMIFS(Calculations!R2:R10,Calculations!A2:A10,A2)</f>
      </c>
      <c r="C2" s="2">
        <f>SUMIFS(Calculations!T2:T10,Calculations!A2:A10,A2)+SUMIFS(Calculations!V2:V10,Calculations!A2:A10,A2)+SUMIFS(Calculations!W2:W10,Calculations!A2:A10,A2)</f>
      </c>
      <c r="D2" s="2">
        <f>SUMIFS(Calculations!S2:S10,Calculations!A2:A10,A2)</f>
      </c>
      <c r="E2" s="2">
        <f>SUMIFS(Calculations!U2:U10,Calculations!A2:A10,A2)</f>
      </c>
      <c r="F2" s="2">
        <f>B2+D2</f>
      </c>
      <c r="G2" s="2">
        <f>C2+E2</f>
      </c>
      <c r="H2" s="2">
        <f>SUMIF(Summary!A2:A4,A2,Summary!J2:J4)</f>
      </c>
      <c r="I2" s="2">
        <f>SUMIF(Summary!A2:A4,A2,Summary!C2:C4)+SUMIF(Summary!A2:A4,A2,Summary!I2:I4)</f>
      </c>
      <c r="J2" s="2">
        <f>SUMIF(Summary!A2:A4,A2,Summary!D2:D4)</f>
      </c>
      <c r="K2" t="s">
        <v>11</v>
      </c>
    </row>
    <row r="3" spans="1:11" x14ac:dyDescent="0.25">
      <c r="A3" t="s">
        <v>12</v>
      </c>
      <c r="B3" s="2">
        <f>SUMIFS(Calculations!R2:R10,Calculations!A2:A10,A3)</f>
      </c>
      <c r="C3" s="2">
        <f>SUMIFS(Calculations!T2:T10,Calculations!A2:A10,A3)+SUMIFS(Calculations!V2:V10,Calculations!A2:A10,A3)+SUMIFS(Calculations!W2:W10,Calculations!A2:A10,A3)</f>
      </c>
      <c r="D3" s="2">
        <f>SUMIFS(Calculations!S2:S10,Calculations!A2:A10,A3)</f>
      </c>
      <c r="E3" s="2">
        <f>SUMIFS(Calculations!U2:U10,Calculations!A2:A10,A3)</f>
      </c>
      <c r="F3" s="2">
        <f>B3+D3</f>
      </c>
      <c r="G3" s="2">
        <f>C3+E3</f>
      </c>
      <c r="H3" s="2">
        <f>SUMIF(Summary!A2:A4,A3,Summary!J2:J4)</f>
      </c>
      <c r="I3" s="2">
        <f>SUMIF(Summary!A2:A4,A3,Summary!C2:C4)+SUMIF(Summary!A2:A4,A3,Summary!I2:I4)</f>
      </c>
      <c r="J3" s="2">
        <f>SUMIF(Summary!A2:A4,A3,Summary!D2:D4)</f>
      </c>
      <c r="K3" t="s">
        <v>11</v>
      </c>
    </row>
    <row r="4" spans="1:11" x14ac:dyDescent="0.25">
      <c r="A4" t="s">
        <v>13</v>
      </c>
      <c r="B4" s="2">
        <f>SUMIFS(Calculations!R2:R10,Calculations!A2:A10,A4)</f>
      </c>
      <c r="C4" s="2">
        <f>SUMIFS(Calculations!T2:T10,Calculations!A2:A10,A4)+SUMIFS(Calculations!V2:V10,Calculations!A2:A10,A4)+SUMIFS(Calculations!W2:W10,Calculations!A2:A10,A4)</f>
      </c>
      <c r="D4" s="2">
        <f>SUMIFS(Calculations!S2:S10,Calculations!A2:A10,A4)</f>
      </c>
      <c r="E4" s="2">
        <f>SUMIFS(Calculations!U2:U10,Calculations!A2:A10,A4)</f>
      </c>
      <c r="F4" s="2">
        <f>B4+D4</f>
      </c>
      <c r="G4" s="2">
        <f>C4+E4</f>
      </c>
      <c r="H4" s="2">
        <f>SUMIF(Summary!A2:A4,A4,Summary!J2:J4)</f>
      </c>
      <c r="I4" s="2">
        <f>SUMIF(Summary!A2:A4,A4,Summary!C2:C4)+SUMIF(Summary!A2:A4,A4,Summary!I2:I4)</f>
      </c>
      <c r="J4" s="2">
        <f>SUMIF(Summary!A2:A4,A4,Summary!D2:D4)</f>
      </c>
      <c r="K4" t="s">
        <v>11</v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4" customWidth="1"/>
    <col min="4" max="4" width="22" customWidth="1"/>
    <col min="5" max="5" width="25" customWidth="1"/>
    <col min="6" max="6" width="21" customWidth="1"/>
    <col min="7" max="7" width="22" customWidth="1"/>
    <col min="8" max="8" width="16" customWidth="1"/>
  </cols>
  <sheetData>
    <row r="1" ht="32" customHeight="1" spans="1:8" x14ac:dyDescent="0.25">
      <c r="A1" s="1" t="s">
        <v>42</v>
      </c>
      <c r="B1" s="1" t="s">
        <v>30</v>
      </c>
      <c r="C1" s="1" t="s">
        <v>191</v>
      </c>
      <c r="D1" s="1" t="s">
        <v>31</v>
      </c>
      <c r="E1" s="1" t="s">
        <v>192</v>
      </c>
      <c r="F1" s="1" t="s">
        <v>173</v>
      </c>
      <c r="G1" s="1" t="s">
        <v>193</v>
      </c>
      <c r="H1" s="1" t="s">
        <v>7</v>
      </c>
    </row>
    <row r="2" spans="1:8" x14ac:dyDescent="0.25">
      <c r="A2" t="s">
        <v>54</v>
      </c>
      <c r="B2" s="2">
        <f>'Category usage'!B2</f>
      </c>
      <c r="C2" s="2">
        <f>SUM('Category costs'!D2:D4)</f>
      </c>
      <c r="D2" s="2">
        <f>'Category usage'!C2</f>
      </c>
      <c r="E2" s="2">
        <f>'Category costs'!D5</f>
      </c>
      <c r="F2" s="2">
        <f>B2+D2</f>
      </c>
      <c r="G2" s="2">
        <f>C2+E2</f>
      </c>
      <c r="H2" t="s">
        <v>11</v>
      </c>
    </row>
    <row r="3" spans="1:8" x14ac:dyDescent="0.25">
      <c r="A3" t="s">
        <v>170</v>
      </c>
      <c r="B3" s="2">
        <f>'Category usage'!B3</f>
      </c>
      <c r="C3" s="2">
        <f>SUM('Category costs'!D7:D9)</f>
      </c>
      <c r="D3" s="2">
        <f>'Category usage'!C3</f>
      </c>
      <c r="E3" s="2">
        <f>'Category costs'!D10</f>
      </c>
      <c r="F3" s="2">
        <f>B3+D3</f>
      </c>
      <c r="G3" s="2">
        <f>C3+E3</f>
      </c>
      <c r="H3" t="s">
        <v>11</v>
      </c>
    </row>
    <row r="4" spans="1:8" x14ac:dyDescent="0.25">
      <c r="A4" t="s">
        <v>171</v>
      </c>
      <c r="B4" s="2">
        <f>'Category usage'!B4</f>
      </c>
      <c r="C4" s="2">
        <f>SUM('Category costs'!D12:D14)</f>
      </c>
      <c r="D4" s="2">
        <f>'Category usage'!C4</f>
      </c>
      <c r="E4" s="2">
        <f>'Category costs'!D15</f>
      </c>
      <c r="F4" s="2">
        <f>B4+D4</f>
      </c>
      <c r="G4" s="2">
        <f>C4+E4</f>
      </c>
      <c r="H4" t="s">
        <v>11</v>
      </c>
    </row>
    <row r="5" spans="1:8" x14ac:dyDescent="0.25">
      <c r="A5" t="s">
        <v>172</v>
      </c>
      <c r="B5" s="2">
        <f>'Category usage'!B5</f>
      </c>
      <c r="C5" s="2">
        <f>SUM('Category costs'!D17:D19)</f>
      </c>
      <c r="D5" s="2">
        <f>'Category usage'!C5</f>
      </c>
      <c r="E5" s="2">
        <f>'Category costs'!D20</f>
      </c>
      <c r="F5" s="2">
        <f>B5+D5</f>
      </c>
      <c r="G5" s="2">
        <f>C5+E5</f>
      </c>
      <c r="H5" t="s">
        <v>11</v>
      </c>
    </row>
    <row r="6" spans="1:8" x14ac:dyDescent="0.25">
      <c r="A6" t="s">
        <v>194</v>
      </c>
      <c r="B6" s="2">
        <f>SUM(B2:B5)</f>
      </c>
      <c r="C6" s="2">
        <f>SUM(C2:C5)</f>
      </c>
      <c r="D6" s="2">
        <f>SUM(D2:D5)</f>
      </c>
      <c r="E6" s="2">
        <f>SUM(E2:E5)</f>
      </c>
      <c r="F6" s="2">
        <f>B6+D6</f>
      </c>
      <c r="G6" s="2">
        <f>C6+E6</f>
      </c>
      <c r="H6" t="s">
        <v>11</v>
      </c>
    </row>
  </sheetData>
  <autoFilter ref="A1:H6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17" customWidth="1"/>
    <col min="7" max="7" width="23" customWidth="1"/>
  </cols>
  <sheetData>
    <row r="1" ht="32" customHeight="1" spans="1:7" x14ac:dyDescent="0.25">
      <c r="A1" s="1" t="s">
        <v>63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 x14ac:dyDescent="0.25">
      <c r="A2" t="s">
        <v>54</v>
      </c>
      <c r="B2" t="s">
        <v>96</v>
      </c>
      <c r="C2" t="s">
        <v>195</v>
      </c>
      <c r="D2" t="s">
        <v>196</v>
      </c>
      <c r="E2" t="s">
        <v>197</v>
      </c>
      <c r="F2" t="s">
        <v>99</v>
      </c>
      <c r="G2" t="s">
        <v>99</v>
      </c>
    </row>
    <row r="3" spans="1:7" x14ac:dyDescent="0.25">
      <c r="A3" t="s">
        <v>170</v>
      </c>
      <c r="B3" t="s">
        <v>198</v>
      </c>
      <c r="C3" t="s">
        <v>199</v>
      </c>
      <c r="D3" t="s">
        <v>98</v>
      </c>
      <c r="E3" t="s">
        <v>200</v>
      </c>
      <c r="F3" t="s">
        <v>99</v>
      </c>
      <c r="G3" t="s">
        <v>99</v>
      </c>
    </row>
    <row r="4" spans="1:7" x14ac:dyDescent="0.25">
      <c r="A4" t="s">
        <v>171</v>
      </c>
      <c r="B4" t="s">
        <v>201</v>
      </c>
      <c r="C4" t="s">
        <v>202</v>
      </c>
      <c r="D4" t="s">
        <v>195</v>
      </c>
      <c r="E4" t="s">
        <v>203</v>
      </c>
      <c r="F4" t="s">
        <v>99</v>
      </c>
      <c r="G4" t="s">
        <v>99</v>
      </c>
    </row>
    <row r="5" spans="1:7" x14ac:dyDescent="0.25">
      <c r="A5" t="s">
        <v>172</v>
      </c>
      <c r="B5" t="s">
        <v>106</v>
      </c>
      <c r="C5" t="s">
        <v>98</v>
      </c>
      <c r="D5" t="s">
        <v>196</v>
      </c>
      <c r="E5" t="s">
        <v>99</v>
      </c>
      <c r="F5" t="s">
        <v>99</v>
      </c>
      <c r="G5" t="s">
        <v>99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7" width="16" customWidth="1"/>
  </cols>
  <sheetData>
    <row r="1" ht="32" customHeight="1" spans="1:7" x14ac:dyDescent="0.25">
      <c r="A1" s="1" t="s">
        <v>62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66</v>
      </c>
    </row>
    <row r="2" spans="1:7" x14ac:dyDescent="0.25">
      <c r="A2" t="s">
        <v>10</v>
      </c>
      <c r="B2" t="s">
        <v>96</v>
      </c>
      <c r="C2" t="s">
        <v>96</v>
      </c>
      <c r="D2" t="s">
        <v>209</v>
      </c>
      <c r="E2" t="s">
        <v>209</v>
      </c>
      <c r="F2" t="s">
        <v>96</v>
      </c>
    </row>
    <row r="3" spans="1:7" x14ac:dyDescent="0.25">
      <c r="A3" t="s">
        <v>12</v>
      </c>
      <c r="B3" t="s">
        <v>96</v>
      </c>
      <c r="C3" t="s">
        <v>96</v>
      </c>
      <c r="D3" t="s">
        <v>96</v>
      </c>
      <c r="E3" t="s">
        <v>96</v>
      </c>
      <c r="F3" t="s">
        <v>96</v>
      </c>
    </row>
    <row r="4" spans="1:7" x14ac:dyDescent="0.25">
      <c r="A4" t="s">
        <v>13</v>
      </c>
      <c r="B4" t="s">
        <v>96</v>
      </c>
      <c r="C4" t="s">
        <v>96</v>
      </c>
      <c r="D4" t="s">
        <v>210</v>
      </c>
      <c r="E4" t="s">
        <v>210</v>
      </c>
      <c r="F4" t="s">
        <v>96</v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</cols>
  <sheetData>
    <row r="1" ht="32" customHeight="1" spans="1:1" x14ac:dyDescent="0.25">
      <c r="A1" s="1" t="s">
        <v>211</v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6" customWidth="1"/>
    <col min="3" max="3" width="28" customWidth="1"/>
    <col min="4" max="4" width="29" customWidth="1"/>
    <col min="5" max="5" width="33" customWidth="1"/>
    <col min="6" max="6" width="34" customWidth="1"/>
    <col min="7" max="14" width="16" customWidth="1"/>
    <col min="15" max="15" width="20" customWidth="1"/>
    <col min="16" max="16" width="24" customWidth="1"/>
    <col min="17" max="17" width="16" customWidth="1"/>
    <col min="18" max="18" width="20" customWidth="1"/>
  </cols>
  <sheetData>
    <row r="1" ht="32" customHeight="1" spans="1:18" x14ac:dyDescent="0.25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</row>
    <row r="2" spans="1:18" x14ac:dyDescent="0.25">
      <c r="A2" t="s">
        <v>52</v>
      </c>
      <c r="B2" t="s">
        <v>230</v>
      </c>
      <c r="C2" s="2">
        <v>2</v>
      </c>
      <c r="D2" s="2">
        <v>0</v>
      </c>
      <c r="G2" t="s">
        <v>231</v>
      </c>
      <c r="H2" t="s">
        <v>232</v>
      </c>
      <c r="I2" s="2" t="b">
        <v>1</v>
      </c>
      <c r="L2" t="s">
        <v>233</v>
      </c>
      <c r="O2" t="s">
        <v>234</v>
      </c>
      <c r="P2" s="2">
        <v>1</v>
      </c>
    </row>
    <row r="3" spans="1:18" x14ac:dyDescent="0.25">
      <c r="A3" t="s">
        <v>60</v>
      </c>
      <c r="B3" t="s">
        <v>230</v>
      </c>
      <c r="C3" s="2">
        <v>10</v>
      </c>
      <c r="D3" s="2">
        <v>0</v>
      </c>
      <c r="G3" t="s">
        <v>231</v>
      </c>
      <c r="H3" t="s">
        <v>232</v>
      </c>
      <c r="I3" s="2" t="b">
        <v>1</v>
      </c>
      <c r="L3" t="s">
        <v>233</v>
      </c>
      <c r="O3" t="s">
        <v>234</v>
      </c>
      <c r="P3" s="2">
        <v>1</v>
      </c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6" customWidth="1"/>
  </cols>
  <sheetData>
    <row r="1" ht="32" customHeight="1" spans="1:2" x14ac:dyDescent="0.25">
      <c r="A1" s="1" t="s">
        <v>235</v>
      </c>
      <c r="B1" s="1" t="s">
        <v>236</v>
      </c>
    </row>
    <row r="2" spans="1:2" x14ac:dyDescent="0.25">
      <c r="A2" t="s">
        <v>237</v>
      </c>
      <c r="B2" t="s">
        <v>238</v>
      </c>
    </row>
    <row r="3" spans="1:2" x14ac:dyDescent="0.25">
      <c r="A3" t="s">
        <v>239</v>
      </c>
    </row>
    <row r="4" spans="1:2" x14ac:dyDescent="0.25">
      <c r="A4" t="s">
        <v>240</v>
      </c>
      <c r="B4" t="s">
        <v>234</v>
      </c>
    </row>
    <row r="5" spans="1:2" x14ac:dyDescent="0.25">
      <c r="A5" t="s">
        <v>241</v>
      </c>
      <c r="B5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245</v>
      </c>
      <c r="B7" t="s">
        <v>246</v>
      </c>
    </row>
    <row r="8" spans="1:2" x14ac:dyDescent="0.25">
      <c r="A8" t="s">
        <v>247</v>
      </c>
      <c r="B8" t="s">
        <v>248</v>
      </c>
    </row>
    <row r="9" spans="1:2" x14ac:dyDescent="0.25">
      <c r="A9" t="s">
        <v>249</v>
      </c>
      <c r="B9" t="s">
        <v>250</v>
      </c>
    </row>
    <row r="10" spans="1:2" x14ac:dyDescent="0.25">
      <c r="A10" t="s">
        <v>251</v>
      </c>
      <c r="B10" t="s">
        <v>252</v>
      </c>
    </row>
    <row r="11" spans="1:2" x14ac:dyDescent="0.25">
      <c r="A11" t="s">
        <v>253</v>
      </c>
      <c r="B11" t="s">
        <v>254</v>
      </c>
    </row>
    <row r="12" spans="1:2" x14ac:dyDescent="0.25">
      <c r="A12" t="s">
        <v>255</v>
      </c>
      <c r="B12" t="s">
        <v>256</v>
      </c>
    </row>
    <row r="13" spans="1:2" x14ac:dyDescent="0.25">
      <c r="A13" t="s">
        <v>257</v>
      </c>
      <c r="B13" t="s">
        <v>258</v>
      </c>
    </row>
    <row r="14" spans="1:2" x14ac:dyDescent="0.25">
      <c r="A14" t="s">
        <v>259</v>
      </c>
      <c r="B14" t="s">
        <v>260</v>
      </c>
    </row>
    <row r="15" spans="1:2" x14ac:dyDescent="0.25">
      <c r="A15" t="s">
        <v>261</v>
      </c>
      <c r="B15" t="s">
        <v>262</v>
      </c>
    </row>
    <row r="16" spans="1:2" x14ac:dyDescent="0.25">
      <c r="A16" t="s">
        <v>263</v>
      </c>
      <c r="B16" t="s">
        <v>264</v>
      </c>
    </row>
    <row r="17" spans="1:2" x14ac:dyDescent="0.25">
      <c r="A17" t="s">
        <v>265</v>
      </c>
      <c r="B17" t="s">
        <v>266</v>
      </c>
    </row>
    <row r="18" spans="1:2" x14ac:dyDescent="0.25">
      <c r="A18" t="s">
        <v>267</v>
      </c>
      <c r="B18" t="s">
        <v>268</v>
      </c>
    </row>
    <row r="19" spans="1:2" x14ac:dyDescent="0.25">
      <c r="A19" t="s">
        <v>269</v>
      </c>
      <c r="B19" t="s">
        <v>270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Calculations</vt:lpstr>
      <vt:lpstr>Agents</vt:lpstr>
      <vt:lpstr>Step options</vt:lpstr>
      <vt:lpstr>Step actions</vt:lpstr>
      <vt:lpstr>Agent identities</vt:lpstr>
      <vt:lpstr>Volume</vt:lpstr>
      <vt:lpstr>Agent links</vt:lpstr>
      <vt:lpstr>Tool costs</vt:lpstr>
      <vt:lpstr>Harness</vt:lpstr>
      <vt:lpstr>Use cases</vt:lpstr>
      <vt:lpstr>Category totals</vt:lpstr>
      <vt:lpstr>Category usage</vt:lpstr>
      <vt:lpstr>Category costs</vt:lpstr>
      <vt:lpstr>Monthly scenario summary</vt:lpstr>
      <vt:lpstr>Monthly category summary</vt:lpstr>
      <vt:lpstr>Profiles</vt:lpstr>
      <vt:lpstr>Scenarios</vt:lpstr>
      <vt:lpstr>Additional costs</vt:lpstr>
      <vt:lpstr>Pricing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2026-10-05T16:44:02Z</dcterms:created>
  <dcterms:modified xsi:type="dcterms:W3CDTF">2026-10-05T16:44:02Z</dcterms:modified>
</cp:coreProperties>
</file>