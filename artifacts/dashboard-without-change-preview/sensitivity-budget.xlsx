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'Calculations'!$A$1:$AM$13</definedName>
    <definedName name="_xlnm._FilterDatabase" localSheetId="2" hidden="1">'Agents'!$A$1:$P$5</definedName>
    <definedName name="_xlnm._FilterDatabase" localSheetId="3" hidden="1">'Agent identities'!$A$1:$E$3</definedName>
    <definedName name="_xlnm._FilterDatabase" localSheetId="4" hidden="1">'Volume'!$A$1:$L$5</definedName>
    <definedName name="_xlnm._FilterDatabase" localSheetId="5" hidden="1">'Agent links'!$A$1:$M$1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cases'!$A$1:$I$13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summary'!$A$1:$K$4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costs'!$A$1:$A$1</definedName>
    <definedName name="_xlnm._FilterDatabase" localSheetId="17" hidden="1">'Pricing'!$A$1:$R$2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SUM(Calculations!X2:X5)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SUM(Calculations!X6:X9)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SUM(Calculations!X10:X13)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Aggregate</t>
        </is>
      </c>
      <c r="D2" t="inlineStr">
        <is>
          <t>Fixture A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0.02</v>
      </c>
      <c r="I2" s="2" t="n">
        <v>1500</v>
      </c>
      <c r="J2" s="2" t="n">
        <v>375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33.33333333333334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Low</t>
        </is>
      </c>
      <c r="B3" t="inlineStr">
        <is>
          <t>Medium agents</t>
        </is>
      </c>
      <c r="C3" t="inlineStr">
        <is>
          <t>Aggregate</t>
        </is>
      </c>
      <c r="D3" t="inlineStr"/>
      <c r="E3" s="2" t="n">
        <v>0</v>
      </c>
      <c r="F3" s="2">
        <f>IF(Z3="daily_users",AA3*AB3*AC3,AD3)*AE3</f>
        <v/>
      </c>
      <c r="G3" s="2">
        <f>AJ3*AK3</f>
        <v/>
      </c>
      <c r="H3" s="2" t="n">
        <v>0.05</v>
      </c>
      <c r="I3" s="2" t="n">
        <v>4500</v>
      </c>
      <c r="J3" s="2" t="n">
        <v>750</v>
      </c>
      <c r="K3" s="2" t="n">
        <v>0</v>
      </c>
      <c r="L3" s="2" t="n">
        <v>0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0</v>
      </c>
      <c r="AB3" s="2" t="n">
        <v>0</v>
      </c>
      <c r="AC3" s="2" t="n">
        <v>30</v>
      </c>
      <c r="AD3" s="2" t="n">
        <v>0</v>
      </c>
      <c r="AE3" s="2" t="n">
        <v>1</v>
      </c>
      <c r="AF3" t="inlineStr">
        <is>
          <t>medium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4</v>
      </c>
      <c r="AK3" s="2" t="n">
        <v>1</v>
      </c>
      <c r="AM3" t="inlineStr"/>
    </row>
    <row r="4">
      <c r="A4" t="inlineStr">
        <is>
          <t>Low</t>
        </is>
      </c>
      <c r="B4" t="inlineStr">
        <is>
          <t>High agents</t>
        </is>
      </c>
      <c r="C4" t="inlineStr">
        <is>
          <t>Aggregate</t>
        </is>
      </c>
      <c r="D4" t="inlineStr"/>
      <c r="E4" s="2" t="n">
        <v>0</v>
      </c>
      <c r="F4" s="2">
        <f>IF(Z4="daily_users",AA4*AB4*AC4,AD4)*AE4</f>
        <v/>
      </c>
      <c r="G4" s="2">
        <f>AJ4*AK4</f>
        <v/>
      </c>
      <c r="H4" s="2" t="n">
        <v>0.1</v>
      </c>
      <c r="I4" s="2" t="n">
        <v>11250</v>
      </c>
      <c r="J4" s="2" t="n">
        <v>1500</v>
      </c>
      <c r="K4" s="2" t="n">
        <v>0</v>
      </c>
      <c r="L4" s="2" t="n">
        <v>0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high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10</v>
      </c>
      <c r="AK4" s="2" t="n">
        <v>1</v>
      </c>
      <c r="AM4" t="inlineStr"/>
    </row>
    <row r="5">
      <c r="A5" t="inlineStr">
        <is>
          <t>Low</t>
        </is>
      </c>
      <c r="B5" t="inlineStr">
        <is>
          <t>Simple agent 2</t>
        </is>
      </c>
      <c r="C5" t="inlineStr">
        <is>
          <t>Aggregate</t>
        </is>
      </c>
      <c r="D5" t="inlineStr">
        <is>
          <t>Fixture A</t>
        </is>
      </c>
      <c r="E5" s="2" t="n">
        <v>1</v>
      </c>
      <c r="F5" s="2">
        <f>IF(Z5="daily_users",AA5*AB5*AC5,AD5)*AE5</f>
        <v/>
      </c>
      <c r="G5" s="2">
        <f>AJ5*AK5</f>
        <v/>
      </c>
      <c r="H5" s="2" t="n">
        <v>0.02</v>
      </c>
      <c r="I5" s="2" t="n">
        <v>1500</v>
      </c>
      <c r="J5" s="2" t="n">
        <v>375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1</v>
      </c>
      <c r="AB5" s="2" t="n">
        <v>33.33333333333334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M5" t="inlineStr"/>
    </row>
    <row r="6">
      <c r="A6" t="inlineStr">
        <is>
          <t>Expected</t>
        </is>
      </c>
      <c r="B6" t="inlineStr">
        <is>
          <t>Simple agents</t>
        </is>
      </c>
      <c r="C6" t="inlineStr">
        <is>
          <t>Aggregate</t>
        </is>
      </c>
      <c r="D6" t="inlineStr">
        <is>
          <t>Fixture A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0.02</v>
      </c>
      <c r="I6" s="2" t="n">
        <v>2000</v>
      </c>
      <c r="J6" s="2" t="n">
        <v>500</v>
      </c>
      <c r="K6" s="2" t="n">
        <v>0</v>
      </c>
      <c r="L6" s="2" t="n">
        <v>0</v>
      </c>
      <c r="M6" s="2" t="n">
        <v>2</v>
      </c>
      <c r="N6" s="2" t="n">
        <v>8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1</v>
      </c>
      <c r="AB6" s="2" t="n">
        <v>33.33333333333334</v>
      </c>
      <c r="AC6" s="2" t="n">
        <v>30</v>
      </c>
      <c r="AD6" s="2" t="n">
        <v>0</v>
      </c>
      <c r="AE6" s="2" t="n">
        <v>1</v>
      </c>
      <c r="AF6" t="inlineStr">
        <is>
          <t>simple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1</v>
      </c>
      <c r="AM6" t="inlineStr"/>
    </row>
    <row r="7">
      <c r="A7" t="inlineStr">
        <is>
          <t>Expected</t>
        </is>
      </c>
      <c r="B7" t="inlineStr">
        <is>
          <t>Medium agents</t>
        </is>
      </c>
      <c r="C7" t="inlineStr">
        <is>
          <t>Aggregate</t>
        </is>
      </c>
      <c r="D7" t="inlineStr"/>
      <c r="E7" s="2" t="n">
        <v>0</v>
      </c>
      <c r="F7" s="2">
        <f>IF(Z7="daily_users",AA7*AB7*AC7,AD7)*AE7</f>
        <v/>
      </c>
      <c r="G7" s="2">
        <f>AJ7*AK7</f>
        <v/>
      </c>
      <c r="H7" s="2" t="n">
        <v>0.05</v>
      </c>
      <c r="I7" s="2" t="n">
        <v>6000</v>
      </c>
      <c r="J7" s="2" t="n">
        <v>1000</v>
      </c>
      <c r="K7" s="2" t="n">
        <v>0</v>
      </c>
      <c r="L7" s="2" t="n">
        <v>0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0</v>
      </c>
      <c r="AB7" s="2" t="n">
        <v>0</v>
      </c>
      <c r="AC7" s="2" t="n">
        <v>30</v>
      </c>
      <c r="AD7" s="2" t="n">
        <v>0</v>
      </c>
      <c r="AE7" s="2" t="n">
        <v>1</v>
      </c>
      <c r="AF7" t="inlineStr">
        <is>
          <t>medium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4</v>
      </c>
      <c r="AK7" s="2" t="n">
        <v>1</v>
      </c>
      <c r="AM7" t="inlineStr"/>
    </row>
    <row r="8">
      <c r="A8" t="inlineStr">
        <is>
          <t>Expected</t>
        </is>
      </c>
      <c r="B8" t="inlineStr">
        <is>
          <t>High agents</t>
        </is>
      </c>
      <c r="C8" t="inlineStr">
        <is>
          <t>Aggregate</t>
        </is>
      </c>
      <c r="D8" t="inlineStr"/>
      <c r="E8" s="2" t="n">
        <v>0</v>
      </c>
      <c r="F8" s="2">
        <f>IF(Z8="daily_users",AA8*AB8*AC8,AD8)*AE8</f>
        <v/>
      </c>
      <c r="G8" s="2">
        <f>AJ8*AK8</f>
        <v/>
      </c>
      <c r="H8" s="2" t="n">
        <v>0.1</v>
      </c>
      <c r="I8" s="2" t="n">
        <v>15000</v>
      </c>
      <c r="J8" s="2" t="n">
        <v>2000</v>
      </c>
      <c r="K8" s="2" t="n">
        <v>0</v>
      </c>
      <c r="L8" s="2" t="n">
        <v>0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0</v>
      </c>
      <c r="AB8" s="2" t="n">
        <v>0</v>
      </c>
      <c r="AC8" s="2" t="n">
        <v>30</v>
      </c>
      <c r="AD8" s="2" t="n">
        <v>0</v>
      </c>
      <c r="AE8" s="2" t="n">
        <v>1</v>
      </c>
      <c r="AF8" t="inlineStr">
        <is>
          <t>high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10</v>
      </c>
      <c r="AK8" s="2" t="n">
        <v>1</v>
      </c>
      <c r="AM8" t="inlineStr"/>
    </row>
    <row r="9">
      <c r="A9" t="inlineStr">
        <is>
          <t>Expected</t>
        </is>
      </c>
      <c r="B9" t="inlineStr">
        <is>
          <t>Simple agent 2</t>
        </is>
      </c>
      <c r="C9" t="inlineStr">
        <is>
          <t>Aggregate</t>
        </is>
      </c>
      <c r="D9" t="inlineStr">
        <is>
          <t>Fixture A</t>
        </is>
      </c>
      <c r="E9" s="2" t="n">
        <v>1</v>
      </c>
      <c r="F9" s="2">
        <f>IF(Z9="daily_users",AA9*AB9*AC9,AD9)*AE9</f>
        <v/>
      </c>
      <c r="G9" s="2">
        <f>AJ9*AK9</f>
        <v/>
      </c>
      <c r="H9" s="2" t="n">
        <v>0.02</v>
      </c>
      <c r="I9" s="2" t="n">
        <v>2000</v>
      </c>
      <c r="J9" s="2" t="n">
        <v>500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daily_users</t>
        </is>
      </c>
      <c r="AA9" s="2" t="n">
        <v>1</v>
      </c>
      <c r="AB9" s="2" t="n">
        <v>33.33333333333334</v>
      </c>
      <c r="AC9" s="2" t="n">
        <v>30</v>
      </c>
      <c r="AD9" s="2" t="n">
        <v>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1</v>
      </c>
      <c r="AM9" t="inlineStr"/>
    </row>
    <row r="10">
      <c r="A10" t="inlineStr">
        <is>
          <t>High</t>
        </is>
      </c>
      <c r="B10" t="inlineStr">
        <is>
          <t>Simple agents</t>
        </is>
      </c>
      <c r="C10" t="inlineStr">
        <is>
          <t>Aggregate</t>
        </is>
      </c>
      <c r="D10" t="inlineStr">
        <is>
          <t>Fixture A</t>
        </is>
      </c>
      <c r="E10" s="2" t="n">
        <v>1</v>
      </c>
      <c r="F10" s="2">
        <f>IF(Z10="daily_users",AA10*AB10*AC10,AD10)*AE10</f>
        <v/>
      </c>
      <c r="G10" s="2">
        <f>AJ10*AK10</f>
        <v/>
      </c>
      <c r="H10" s="2" t="n">
        <v>0.02</v>
      </c>
      <c r="I10" s="2" t="n">
        <v>3000</v>
      </c>
      <c r="J10" s="2" t="n">
        <v>750</v>
      </c>
      <c r="K10" s="2" t="n">
        <v>0</v>
      </c>
      <c r="L10" s="2" t="n">
        <v>0</v>
      </c>
      <c r="M10" s="2" t="n">
        <v>2</v>
      </c>
      <c r="N10" s="2" t="n">
        <v>8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1</v>
      </c>
      <c r="AB10" s="2" t="n">
        <v>33.33333333333334</v>
      </c>
      <c r="AC10" s="2" t="n">
        <v>30</v>
      </c>
      <c r="AD10" s="2" t="n">
        <v>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</v>
      </c>
      <c r="AK10" s="2" t="n">
        <v>1</v>
      </c>
      <c r="AM10" t="inlineStr"/>
    </row>
    <row r="11">
      <c r="A11" t="inlineStr">
        <is>
          <t>High</t>
        </is>
      </c>
      <c r="B11" t="inlineStr">
        <is>
          <t>Medium agents</t>
        </is>
      </c>
      <c r="C11" t="inlineStr">
        <is>
          <t>Aggregate</t>
        </is>
      </c>
      <c r="D11" t="inlineStr"/>
      <c r="E11" s="2" t="n">
        <v>0</v>
      </c>
      <c r="F11" s="2">
        <f>IF(Z11="daily_users",AA11*AB11*AC11,AD11)*AE11</f>
        <v/>
      </c>
      <c r="G11" s="2">
        <f>AJ11*AK11</f>
        <v/>
      </c>
      <c r="H11" s="2" t="n">
        <v>0.05</v>
      </c>
      <c r="I11" s="2" t="n">
        <v>9000</v>
      </c>
      <c r="J11" s="2" t="n">
        <v>1500</v>
      </c>
      <c r="K11" s="2" t="n">
        <v>0</v>
      </c>
      <c r="L11" s="2" t="n">
        <v>0</v>
      </c>
      <c r="Q11" s="2">
        <f>E11*F11*G11*(1+H11)</f>
        <v/>
      </c>
      <c r="R11" s="2">
        <f>Q11*I11</f>
        <v/>
      </c>
      <c r="S11" s="2">
        <f>Q11*J11</f>
        <v/>
      </c>
      <c r="T11" s="2">
        <f>R11*(1-K11-L11)*M11/1000000</f>
        <v/>
      </c>
      <c r="U11" s="2">
        <f>S11*N11/1000000</f>
        <v/>
      </c>
      <c r="V11" s="2">
        <f>R11*K11*O11/1000000</f>
        <v/>
      </c>
      <c r="W11" s="2">
        <f>R11*L11*P11/1000000</f>
        <v/>
      </c>
      <c r="X11" s="2">
        <f>SUM(T11:W11)</f>
        <v/>
      </c>
      <c r="Y11" t="inlineStr">
        <is>
          <t>Complete</t>
        </is>
      </c>
      <c r="Z11" t="inlineStr">
        <is>
          <t>daily_users</t>
        </is>
      </c>
      <c r="AA11" s="2" t="n">
        <v>0</v>
      </c>
      <c r="AB11" s="2" t="n">
        <v>0</v>
      </c>
      <c r="AC11" s="2" t="n">
        <v>30</v>
      </c>
      <c r="AD11" s="2" t="n">
        <v>0</v>
      </c>
      <c r="AE11" s="2" t="n">
        <v>1</v>
      </c>
      <c r="AF11" t="inlineStr">
        <is>
          <t>medium</t>
        </is>
      </c>
      <c r="AG11" s="2">
        <f>R11*(1-K11-L11)</f>
        <v/>
      </c>
      <c r="AH11" s="2">
        <f>R11*K11</f>
        <v/>
      </c>
      <c r="AI11" s="2">
        <f>R11*L11</f>
        <v/>
      </c>
      <c r="AJ11" s="2" t="n">
        <v>4</v>
      </c>
      <c r="AK11" s="2" t="n">
        <v>1</v>
      </c>
      <c r="AM11" t="inlineStr"/>
    </row>
    <row r="12">
      <c r="A12" t="inlineStr">
        <is>
          <t>High</t>
        </is>
      </c>
      <c r="B12" t="inlineStr">
        <is>
          <t>High agents</t>
        </is>
      </c>
      <c r="C12" t="inlineStr">
        <is>
          <t>Aggregate</t>
        </is>
      </c>
      <c r="D12" t="inlineStr"/>
      <c r="E12" s="2" t="n">
        <v>0</v>
      </c>
      <c r="F12" s="2">
        <f>IF(Z12="daily_users",AA12*AB12*AC12,AD12)*AE12</f>
        <v/>
      </c>
      <c r="G12" s="2">
        <f>AJ12*AK12</f>
        <v/>
      </c>
      <c r="H12" s="2" t="n">
        <v>0.1</v>
      </c>
      <c r="I12" s="2" t="n">
        <v>22500</v>
      </c>
      <c r="J12" s="2" t="n">
        <v>3000</v>
      </c>
      <c r="K12" s="2" t="n">
        <v>0</v>
      </c>
      <c r="L12" s="2" t="n">
        <v>0</v>
      </c>
      <c r="Q12" s="2">
        <f>E12*F12*G12*(1+H12)</f>
        <v/>
      </c>
      <c r="R12" s="2">
        <f>Q12*I12</f>
        <v/>
      </c>
      <c r="S12" s="2">
        <f>Q12*J12</f>
        <v/>
      </c>
      <c r="T12" s="2">
        <f>R12*(1-K12-L12)*M12/1000000</f>
        <v/>
      </c>
      <c r="U12" s="2">
        <f>S12*N12/1000000</f>
        <v/>
      </c>
      <c r="V12" s="2">
        <f>R12*K12*O12/1000000</f>
        <v/>
      </c>
      <c r="W12" s="2">
        <f>R12*L12*P12/1000000</f>
        <v/>
      </c>
      <c r="X12" s="2">
        <f>SUM(T12:W12)</f>
        <v/>
      </c>
      <c r="Y12" t="inlineStr">
        <is>
          <t>Complete</t>
        </is>
      </c>
      <c r="Z12" t="inlineStr">
        <is>
          <t>daily_users</t>
        </is>
      </c>
      <c r="AA12" s="2" t="n">
        <v>0</v>
      </c>
      <c r="AB12" s="2" t="n">
        <v>0</v>
      </c>
      <c r="AC12" s="2" t="n">
        <v>30</v>
      </c>
      <c r="AD12" s="2" t="n">
        <v>0</v>
      </c>
      <c r="AE12" s="2" t="n">
        <v>1</v>
      </c>
      <c r="AF12" t="inlineStr">
        <is>
          <t>high</t>
        </is>
      </c>
      <c r="AG12" s="2">
        <f>R12*(1-K12-L12)</f>
        <v/>
      </c>
      <c r="AH12" s="2">
        <f>R12*K12</f>
        <v/>
      </c>
      <c r="AI12" s="2">
        <f>R12*L12</f>
        <v/>
      </c>
      <c r="AJ12" s="2" t="n">
        <v>10</v>
      </c>
      <c r="AK12" s="2" t="n">
        <v>1</v>
      </c>
      <c r="AM12" t="inlineStr"/>
    </row>
    <row r="13">
      <c r="A13" t="inlineStr">
        <is>
          <t>High</t>
        </is>
      </c>
      <c r="B13" t="inlineStr">
        <is>
          <t>Simple agent 2</t>
        </is>
      </c>
      <c r="C13" t="inlineStr">
        <is>
          <t>Aggregate</t>
        </is>
      </c>
      <c r="D13" t="inlineStr">
        <is>
          <t>Fixture A</t>
        </is>
      </c>
      <c r="E13" s="2" t="n">
        <v>1</v>
      </c>
      <c r="F13" s="2">
        <f>IF(Z13="daily_users",AA13*AB13*AC13,AD13)*AE13</f>
        <v/>
      </c>
      <c r="G13" s="2">
        <f>AJ13*AK13</f>
        <v/>
      </c>
      <c r="H13" s="2" t="n">
        <v>0.02</v>
      </c>
      <c r="I13" s="2" t="n">
        <v>3000</v>
      </c>
      <c r="J13" s="2" t="n">
        <v>750</v>
      </c>
      <c r="K13" s="2" t="n">
        <v>0</v>
      </c>
      <c r="L13" s="2" t="n">
        <v>0</v>
      </c>
      <c r="M13" s="2" t="n">
        <v>2</v>
      </c>
      <c r="N13" s="2" t="n">
        <v>8</v>
      </c>
      <c r="Q13" s="2">
        <f>E13*F13*G13*(1+H13)</f>
        <v/>
      </c>
      <c r="R13" s="2">
        <f>Q13*I13</f>
        <v/>
      </c>
      <c r="S13" s="2">
        <f>Q13*J13</f>
        <v/>
      </c>
      <c r="T13" s="2">
        <f>R13*(1-K13-L13)*M13/1000000</f>
        <v/>
      </c>
      <c r="U13" s="2">
        <f>S13*N13/1000000</f>
        <v/>
      </c>
      <c r="V13" s="2">
        <f>R13*K13*O13/1000000</f>
        <v/>
      </c>
      <c r="W13" s="2">
        <f>R13*L13*P13/1000000</f>
        <v/>
      </c>
      <c r="X13" s="2">
        <f>SUM(T13:W13)</f>
        <v/>
      </c>
      <c r="Y13" t="inlineStr">
        <is>
          <t>Complete</t>
        </is>
      </c>
      <c r="Z13" t="inlineStr">
        <is>
          <t>daily_users</t>
        </is>
      </c>
      <c r="AA13" s="2" t="n">
        <v>1</v>
      </c>
      <c r="AB13" s="2" t="n">
        <v>33.33333333333334</v>
      </c>
      <c r="AC13" s="2" t="n">
        <v>30</v>
      </c>
      <c r="AD13" s="2" t="n">
        <v>0</v>
      </c>
      <c r="AE13" s="2" t="n">
        <v>1</v>
      </c>
      <c r="AF13" t="inlineStr">
        <is>
          <t>simple</t>
        </is>
      </c>
      <c r="AG13" s="2">
        <f>R13*(1-K13-L13)</f>
        <v/>
      </c>
      <c r="AH13" s="2">
        <f>R13*K13</f>
        <v/>
      </c>
      <c r="AI13" s="2">
        <f>R13*L13</f>
        <v/>
      </c>
      <c r="AJ13" s="2" t="n">
        <v>1</v>
      </c>
      <c r="AK13" s="2" t="n">
        <v>1</v>
      </c>
      <c r="AM13" t="inlineStr"/>
    </row>
  </sheetData>
  <autoFilter ref="A1:AM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1</v>
      </c>
      <c r="D2" s="2" t="n">
        <v>0</v>
      </c>
      <c r="E2" t="inlineStr">
        <is>
          <t>Fixture A</t>
        </is>
      </c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33.33333333333334</v>
      </c>
      <c r="O2" t="inlineStr">
        <is>
          <t>d8156f09-0a85-454e-85e1-567ddbc18390</t>
        </is>
      </c>
      <c r="P2" t="inlineStr">
        <is>
          <t>Business use case pending description</t>
        </is>
      </c>
    </row>
    <row r="3">
      <c r="A3" t="inlineStr">
        <is>
          <t>Medium agents</t>
        </is>
      </c>
      <c r="B3" t="inlineStr">
        <is>
          <t>medium</t>
        </is>
      </c>
      <c r="C3" s="2" t="n">
        <v>0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daily_users</t>
        </is>
      </c>
      <c r="M3" s="2" t="n">
        <v>0</v>
      </c>
      <c r="N3" s="2" t="n">
        <v>0</v>
      </c>
      <c r="O3" t="inlineStr"/>
      <c r="P3" t="inlineStr"/>
    </row>
    <row r="4">
      <c r="A4" t="inlineStr">
        <is>
          <t>High agents</t>
        </is>
      </c>
      <c r="B4" t="inlineStr">
        <is>
          <t>high</t>
        </is>
      </c>
      <c r="C4" s="2" t="n">
        <v>0</v>
      </c>
      <c r="D4" s="2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daily_users</t>
        </is>
      </c>
      <c r="M4" s="2" t="n">
        <v>0</v>
      </c>
      <c r="N4" s="2" t="n">
        <v>0</v>
      </c>
      <c r="O4" t="inlineStr"/>
      <c r="P4" t="inlineStr"/>
    </row>
    <row r="5">
      <c r="A5" t="inlineStr">
        <is>
          <t>Simple agent 2</t>
        </is>
      </c>
      <c r="B5" t="inlineStr">
        <is>
          <t>simple</t>
        </is>
      </c>
      <c r="C5" s="2" t="n">
        <v>1</v>
      </c>
      <c r="D5" s="2" t="n">
        <v>0</v>
      </c>
      <c r="E5" t="inlineStr">
        <is>
          <t>Fixture A</t>
        </is>
      </c>
      <c r="F5" t="inlineStr"/>
      <c r="G5" t="inlineStr"/>
      <c r="H5" t="inlineStr"/>
      <c r="I5" t="inlineStr"/>
      <c r="J5" t="inlineStr"/>
      <c r="K5" t="inlineStr"/>
      <c r="L5" t="inlineStr">
        <is>
          <t>daily_users</t>
        </is>
      </c>
      <c r="M5" s="2" t="n">
        <v>1</v>
      </c>
      <c r="N5" s="2" t="n">
        <v>33.33333333333334</v>
      </c>
      <c r="O5" t="inlineStr">
        <is>
          <t>b823fdc9-2974-4684-968e-c0739c4313dd</t>
        </is>
      </c>
      <c r="P5" t="inlineStr">
        <is>
          <t>Business use case pending description</t>
        </is>
      </c>
    </row>
  </sheetData>
  <autoFilter ref="A1:P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Group ID</t>
        </is>
      </c>
      <c r="B1" s="1" t="inlineStr">
        <is>
          <t>Group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cd914d68-377e-47e3-89df-9e26366eb567</t>
        </is>
      </c>
      <c r="B2" t="inlineStr">
        <is>
          <t>Simple agents</t>
        </is>
      </c>
      <c r="C2" t="inlineStr">
        <is>
          <t>d8156f09-0a85-454e-85e1-567ddbc18390</t>
        </is>
      </c>
      <c r="D2" t="inlineStr">
        <is>
          <t>Simple agent 1</t>
        </is>
      </c>
      <c r="E2" t="inlineStr">
        <is>
          <t>Business use case pending description</t>
        </is>
      </c>
    </row>
    <row r="3">
      <c r="A3" t="inlineStr">
        <is>
          <t>4ef11371-211f-4c58-899a-9602432ec569</t>
        </is>
      </c>
      <c r="B3" t="inlineStr">
        <is>
          <t>Simple agent 2</t>
        </is>
      </c>
      <c r="C3" t="inlineStr">
        <is>
          <t>b823fdc9-2974-4684-968e-c0739c4313dd</t>
        </is>
      </c>
      <c r="D3" t="inlineStr">
        <is>
          <t>Simple agent 2</t>
        </is>
      </c>
      <c r="E3" t="inlineStr">
        <is>
          <t>Business use case pending description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</v>
      </c>
      <c r="F2" s="2" t="n">
        <v>33.33333333333334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cd914d68-377e-47e3-89df-9e26366eb567</t>
        </is>
      </c>
    </row>
    <row r="3">
      <c r="A3" t="inlineStr">
        <is>
          <t>Medium agents</t>
        </is>
      </c>
      <c r="B3" t="inlineStr">
        <is>
          <t>medium</t>
        </is>
      </c>
      <c r="C3" s="2" t="n">
        <v>0</v>
      </c>
      <c r="D3" t="inlineStr">
        <is>
          <t>daily_users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>
        <f>IF(D3="daily_users",E3*F3*G3,H3)</f>
        <v/>
      </c>
      <c r="J3" s="2">
        <f>C3*I3</f>
        <v/>
      </c>
      <c r="K3" t="inlineStr">
        <is>
          <t>2df99a91-396a-4b4f-8a80-a3783f89cef8</t>
        </is>
      </c>
    </row>
    <row r="4">
      <c r="A4" t="inlineStr">
        <is>
          <t>High agents</t>
        </is>
      </c>
      <c r="B4" t="inlineStr">
        <is>
          <t>high</t>
        </is>
      </c>
      <c r="C4" s="2" t="n">
        <v>0</v>
      </c>
      <c r="D4" t="inlineStr">
        <is>
          <t>daily_users</t>
        </is>
      </c>
      <c r="E4" s="2" t="n">
        <v>0</v>
      </c>
      <c r="F4" s="2" t="n">
        <v>0</v>
      </c>
      <c r="G4" s="2" t="n">
        <v>30</v>
      </c>
      <c r="H4" s="2" t="n">
        <v>0</v>
      </c>
      <c r="I4" s="2">
        <f>IF(D4="daily_users",E4*F4*G4,H4)</f>
        <v/>
      </c>
      <c r="J4" s="2">
        <f>C4*I4</f>
        <v/>
      </c>
      <c r="K4" t="inlineStr">
        <is>
          <t>b7680e13-2786-47fe-9430-02c1939e28ed</t>
        </is>
      </c>
    </row>
    <row r="5">
      <c r="A5" t="inlineStr">
        <is>
          <t>Simple agent 2</t>
        </is>
      </c>
      <c r="B5" t="inlineStr">
        <is>
          <t>simple</t>
        </is>
      </c>
      <c r="C5" s="2" t="n">
        <v>1</v>
      </c>
      <c r="D5" t="inlineStr">
        <is>
          <t>daily_users</t>
        </is>
      </c>
      <c r="E5" s="2" t="n">
        <v>1</v>
      </c>
      <c r="F5" s="2" t="n">
        <v>33.33333333333334</v>
      </c>
      <c r="G5" s="2" t="n">
        <v>30</v>
      </c>
      <c r="H5" s="2" t="n">
        <v>0</v>
      </c>
      <c r="I5" s="2">
        <f>IF(D5="daily_users",E5*F5*G5,H5)</f>
        <v/>
      </c>
      <c r="J5" s="2">
        <f>C5*I5</f>
        <v/>
      </c>
      <c r="K5" t="inlineStr">
        <is>
          <t>4ef11371-211f-4c58-899a-9602432ec569</t>
        </is>
      </c>
    </row>
  </sheetData>
  <autoFilter ref="A1:L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6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Parent agent/group</t>
        </is>
      </c>
      <c r="C1" s="1" t="inlineStr">
        <is>
          <t>Child agent/group</t>
        </is>
      </c>
      <c r="D1" s="1" t="inlineStr">
        <is>
          <t>Branch group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2000</v>
      </c>
      <c r="F2" s="2" t="n">
        <v>0</v>
      </c>
      <c r="G2" s="2" t="n">
        <v>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2000</v>
      </c>
      <c r="F3" s="2" t="n">
        <v>0</v>
      </c>
      <c r="G3" s="2" t="n">
        <v>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2000</v>
      </c>
      <c r="F4" s="2" t="n">
        <v>0</v>
      </c>
      <c r="G4" s="2" t="n">
        <v>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Simple agents</t>
        </is>
      </c>
      <c r="D2" s="2" t="n">
        <v>1000</v>
      </c>
      <c r="E2" s="2" t="n">
        <v>0.00612</v>
      </c>
      <c r="F2" s="2" t="n">
        <v>0</v>
      </c>
      <c r="G2" s="2" t="n">
        <v>0.00612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Medium agents</t>
        </is>
      </c>
      <c r="C3" t="inlineStr">
        <is>
          <t>Medium agents</t>
        </is>
      </c>
      <c r="D3" s="2" t="n">
        <v>0</v>
      </c>
      <c r="E3" s="2" t="n">
        <v>0</v>
      </c>
      <c r="F3" s="2" t="n">
        <v>0</v>
      </c>
      <c r="G3" s="2" t="n">
        <v>0</v>
      </c>
      <c r="H3" t="inlineStr">
        <is>
          <t>INCOMPLETE — known costs only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High agents</t>
        </is>
      </c>
      <c r="C4" t="inlineStr">
        <is>
          <t>High agents</t>
        </is>
      </c>
      <c r="D4" s="2" t="n">
        <v>0</v>
      </c>
      <c r="E4" s="2" t="n">
        <v>0</v>
      </c>
      <c r="F4" s="2" t="n">
        <v>0</v>
      </c>
      <c r="G4" s="2" t="n">
        <v>0</v>
      </c>
      <c r="H4" t="inlineStr">
        <is>
          <t>INCOMPLETE — known costs only</t>
        </is>
      </c>
      <c r="I4" t="inlineStr">
        <is>
          <t>Precomputed DAG rollup; inputs and direct calculations in other sheets</t>
        </is>
      </c>
    </row>
    <row r="5">
      <c r="A5" t="inlineStr">
        <is>
          <t>Low</t>
        </is>
      </c>
      <c r="B5" t="inlineStr">
        <is>
          <t>Simple agent 2</t>
        </is>
      </c>
      <c r="C5" t="inlineStr">
        <is>
          <t>Simple agent 2</t>
        </is>
      </c>
      <c r="D5" s="2" t="n">
        <v>1000</v>
      </c>
      <c r="E5" s="2" t="n">
        <v>0.00612</v>
      </c>
      <c r="F5" s="2" t="n">
        <v>0</v>
      </c>
      <c r="G5" s="2" t="n">
        <v>0.00612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Simple agents</t>
        </is>
      </c>
      <c r="C6" t="inlineStr">
        <is>
          <t>Simple agents</t>
        </is>
      </c>
      <c r="D6" s="2" t="n">
        <v>1000</v>
      </c>
      <c r="E6" s="2" t="n">
        <v>0.008160000000000001</v>
      </c>
      <c r="F6" s="2" t="n">
        <v>0</v>
      </c>
      <c r="G6" s="2" t="n">
        <v>0.008160000000000001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Medium agents</t>
        </is>
      </c>
      <c r="C7" t="inlineStr">
        <is>
          <t>Medium agents</t>
        </is>
      </c>
      <c r="D7" s="2" t="n">
        <v>0</v>
      </c>
      <c r="E7" s="2" t="n">
        <v>0</v>
      </c>
      <c r="F7" s="2" t="n">
        <v>0</v>
      </c>
      <c r="G7" s="2" t="n">
        <v>0</v>
      </c>
      <c r="H7" t="inlineStr">
        <is>
          <t>INCOMPLETE — known costs only</t>
        </is>
      </c>
      <c r="I7" t="inlineStr">
        <is>
          <t>Precomputed DAG rollup; inputs and direct calculations in other sheets</t>
        </is>
      </c>
    </row>
    <row r="8">
      <c r="A8" t="inlineStr">
        <is>
          <t>Expected</t>
        </is>
      </c>
      <c r="B8" t="inlineStr">
        <is>
          <t>High agents</t>
        </is>
      </c>
      <c r="C8" t="inlineStr">
        <is>
          <t>High agents</t>
        </is>
      </c>
      <c r="D8" s="2" t="n">
        <v>0</v>
      </c>
      <c r="E8" s="2" t="n">
        <v>0</v>
      </c>
      <c r="F8" s="2" t="n">
        <v>0</v>
      </c>
      <c r="G8" s="2" t="n">
        <v>0</v>
      </c>
      <c r="H8" t="inlineStr">
        <is>
          <t>INCOMPLETE — known costs only</t>
        </is>
      </c>
      <c r="I8" t="inlineStr">
        <is>
          <t>Precomputed DAG rollup; inputs and direct calculations in other sheets</t>
        </is>
      </c>
    </row>
    <row r="9">
      <c r="A9" t="inlineStr">
        <is>
          <t>Expected</t>
        </is>
      </c>
      <c r="B9" t="inlineStr">
        <is>
          <t>Simple agent 2</t>
        </is>
      </c>
      <c r="C9" t="inlineStr">
        <is>
          <t>Simple agent 2</t>
        </is>
      </c>
      <c r="D9" s="2" t="n">
        <v>1000</v>
      </c>
      <c r="E9" s="2" t="n">
        <v>0.008160000000000001</v>
      </c>
      <c r="F9" s="2" t="n">
        <v>0</v>
      </c>
      <c r="G9" s="2" t="n">
        <v>0.008160000000000001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Simple agents</t>
        </is>
      </c>
      <c r="C10" t="inlineStr">
        <is>
          <t>Simple agents</t>
        </is>
      </c>
      <c r="D10" s="2" t="n">
        <v>1000</v>
      </c>
      <c r="E10" s="2" t="n">
        <v>0.01224</v>
      </c>
      <c r="F10" s="2" t="n">
        <v>0</v>
      </c>
      <c r="G10" s="2" t="n">
        <v>0.01224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  <row r="11">
      <c r="A11" t="inlineStr">
        <is>
          <t>High</t>
        </is>
      </c>
      <c r="B11" t="inlineStr">
        <is>
          <t>Medium agents</t>
        </is>
      </c>
      <c r="C11" t="inlineStr">
        <is>
          <t>Medium agents</t>
        </is>
      </c>
      <c r="D11" s="2" t="n">
        <v>0</v>
      </c>
      <c r="E11" s="2" t="n">
        <v>0</v>
      </c>
      <c r="F11" s="2" t="n">
        <v>0</v>
      </c>
      <c r="G11" s="2" t="n">
        <v>0</v>
      </c>
      <c r="H11" t="inlineStr">
        <is>
          <t>INCOMPLETE — known costs only</t>
        </is>
      </c>
      <c r="I11" t="inlineStr">
        <is>
          <t>Precomputed DAG rollup; inputs and direct calculations in other sheets</t>
        </is>
      </c>
    </row>
    <row r="12">
      <c r="A12" t="inlineStr">
        <is>
          <t>High</t>
        </is>
      </c>
      <c r="B12" t="inlineStr">
        <is>
          <t>High agents</t>
        </is>
      </c>
      <c r="C12" t="inlineStr">
        <is>
          <t>High agents</t>
        </is>
      </c>
      <c r="D12" s="2" t="n">
        <v>0</v>
      </c>
      <c r="E12" s="2" t="n">
        <v>0</v>
      </c>
      <c r="F12" s="2" t="n">
        <v>0</v>
      </c>
      <c r="G12" s="2" t="n">
        <v>0</v>
      </c>
      <c r="H12" t="inlineStr">
        <is>
          <t>INCOMPLETE — known costs only</t>
        </is>
      </c>
      <c r="I12" t="inlineStr">
        <is>
          <t>Precomputed DAG rollup; inputs and direct calculations in other sheets</t>
        </is>
      </c>
    </row>
    <row r="13">
      <c r="A13" t="inlineStr">
        <is>
          <t>High</t>
        </is>
      </c>
      <c r="B13" t="inlineStr">
        <is>
          <t>Simple agent 2</t>
        </is>
      </c>
      <c r="C13" t="inlineStr">
        <is>
          <t>Simple agent 2</t>
        </is>
      </c>
      <c r="D13" s="2" t="n">
        <v>1000</v>
      </c>
      <c r="E13" s="2" t="n">
        <v>0.01224</v>
      </c>
      <c r="F13" s="2" t="n">
        <v>0</v>
      </c>
      <c r="G13" s="2" t="n">
        <v>0.01224</v>
      </c>
      <c r="H13" t="inlineStr">
        <is>
          <t>Complete</t>
        </is>
      </c>
      <c r="I13" t="inlineStr">
        <is>
          <t>Precomputed DAG rollup; inputs and direct calculations in other sheets</t>
        </is>
      </c>
    </row>
  </sheetData>
  <autoFilter ref="A1:I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SUMIF(Volume!B2:B5,A2,Volume!J2:J5)</f>
        <v/>
      </c>
    </row>
    <row r="3">
      <c r="A3" t="inlineStr">
        <is>
          <t>medium</t>
        </is>
      </c>
      <c r="B3" s="2">
        <f>SUMIF(Volume!B2:B5,A3,Volume!J2:J5)</f>
        <v/>
      </c>
    </row>
    <row r="4">
      <c r="A4" t="inlineStr">
        <is>
          <t>high</t>
        </is>
      </c>
      <c r="B4" s="2">
        <f>SUMIF(Volume!B2:B5,A4,Volume!J2:J5)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SUMIFS(Calculations!R2:R13,Calculations!A2:A13,"Expected",Calculations!AF2:AF13,A2)</f>
        <v/>
      </c>
      <c r="C2" s="2">
        <f>SUMIFS(Calculations!S2:S13,Calculations!A2:A13,"Expected",Calculations!AF2:AF13,A2)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SUMIFS(Calculations!R2:R13,Calculations!A2:A13,"Expected",Calculations!AF2:AF13,A3)</f>
        <v/>
      </c>
      <c r="C3" s="2">
        <f>SUMIFS(Calculations!S2:S13,Calculations!A2:A13,"Expected",Calculations!AF2:AF13,A3)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SUMIFS(Calculations!R2:R13,Calculations!A2:A13,"Expected",Calculations!AF2:AF13,A4)</f>
        <v/>
      </c>
      <c r="C4" s="2">
        <f>SUMIFS(Calculations!S2:S13,Calculations!A2:A13,"Expected",Calculations!AF2:AF13,A4)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SUMIFS(Calculations!AG2:AG13,Calculations!A2:A13,"Expected",Calculations!AF2:AF13,A2)</f>
        <v/>
      </c>
      <c r="D2" s="2">
        <f>SUMIFS(Calculations!T2:T13,Calculations!A2:A13,"Expected",Calculations!AF2:AF13,A2)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SUMIFS(Calculations!AH2:AH13,Calculations!A2:A13,"Expected",Calculations!AF2:AF13,A3)</f>
        <v/>
      </c>
      <c r="D3" s="2">
        <f>SUMIFS(Calculations!V2:V13,Calculations!A2:A13,"Expected",Calculations!AF2:AF13,A3)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SUMIFS(Calculations!AI2:AI13,Calculations!A2:A13,"Expected",Calculations!AF2:AF13,A4)</f>
        <v/>
      </c>
      <c r="D4" s="2">
        <f>SUMIFS(Calculations!W2:W13,Calculations!A2:A13,"Expected",Calculations!AF2:AF13,A4)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SUMIFS(Calculations!S2:S13,Calculations!A2:A13,"Expected",Calculations!AF2:AF13,A5)</f>
        <v/>
      </c>
      <c r="D5" s="2">
        <f>SUMIFS(Calculations!U2:U13,Calculations!A2:A13,"Expected",Calculations!AF2:AF13,A5)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SUMIFS(Calculations!AG2:AG13,Calculations!A2:A13,"Expected",Calculations!AF2:AF13,A7)</f>
        <v/>
      </c>
      <c r="D7" s="2">
        <f>SUMIFS(Calculations!T2:T13,Calculations!A2:A13,"Expected",Calculations!AF2:AF13,A7)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SUMIFS(Calculations!AH2:AH13,Calculations!A2:A13,"Expected",Calculations!AF2:AF13,A8)</f>
        <v/>
      </c>
      <c r="D8" s="2">
        <f>SUMIFS(Calculations!V2:V13,Calculations!A2:A13,"Expected",Calculations!AF2:AF13,A8)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SUMIFS(Calculations!AI2:AI13,Calculations!A2:A13,"Expected",Calculations!AF2:AF13,A9)</f>
        <v/>
      </c>
      <c r="D9" s="2">
        <f>SUMIFS(Calculations!W2:W13,Calculations!A2:A13,"Expected",Calculations!AF2:AF13,A9)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SUMIFS(Calculations!S2:S13,Calculations!A2:A13,"Expected",Calculations!AF2:AF13,A10)</f>
        <v/>
      </c>
      <c r="D10" s="2">
        <f>SUMIFS(Calculations!U2:U13,Calculations!A2:A13,"Expected",Calculations!AF2:AF13,A10)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SUMIFS(Calculations!AG2:AG13,Calculations!A2:A13,"Expected",Calculations!AF2:AF13,A12)</f>
        <v/>
      </c>
      <c r="D12" s="2">
        <f>SUMIFS(Calculations!T2:T13,Calculations!A2:A13,"Expected",Calculations!AF2:AF13,A12)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SUMIFS(Calculations!AH2:AH13,Calculations!A2:A13,"Expected",Calculations!AF2:AF13,A13)</f>
        <v/>
      </c>
      <c r="D13" s="2">
        <f>SUMIFS(Calculations!V2:V13,Calculations!A2:A13,"Expected",Calculations!AF2:AF13,A13)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SUMIFS(Calculations!AI2:AI13,Calculations!A2:A13,"Expected",Calculations!AF2:AF13,A14)</f>
        <v/>
      </c>
      <c r="D14" s="2">
        <f>SUMIFS(Calculations!W2:W13,Calculations!A2:A13,"Expected",Calculations!AF2:AF13,A14)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SUMIFS(Calculations!S2:S13,Calculations!A2:A13,"Expected",Calculations!AF2:AF13,A15)</f>
        <v/>
      </c>
      <c r="D15" s="2">
        <f>SUMIFS(Calculations!U2:U13,Calculations!A2:A13,"Expected",Calculations!AF2:AF13,A15)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SUMIFS(Calculations!R2:R13,Calculations!A2:A13,A2)</f>
        <v/>
      </c>
      <c r="C2" s="2">
        <f>SUMIFS(Calculations!T2:T13,Calculations!A2:A13,A2)+SUMIFS(Calculations!V2:V13,Calculations!A2:A13,A2)+SUMIFS(Calculations!W2:W13,Calculations!A2:A13,A2)</f>
        <v/>
      </c>
      <c r="D2" s="2">
        <f>SUMIFS(Calculations!S2:S13,Calculations!A2:A13,A2)</f>
        <v/>
      </c>
      <c r="E2" s="2">
        <f>SUMIFS(Calculations!U2:U13,Calculations!A2:A13,A2)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SUMIFS(Calculations!R2:R13,Calculations!A2:A13,A3)</f>
        <v/>
      </c>
      <c r="C3" s="2">
        <f>SUMIFS(Calculations!T2:T13,Calculations!A2:A13,A3)+SUMIFS(Calculations!V2:V13,Calculations!A2:A13,A3)+SUMIFS(Calculations!W2:W13,Calculations!A2:A13,A3)</f>
        <v/>
      </c>
      <c r="D3" s="2">
        <f>SUMIFS(Calculations!S2:S13,Calculations!A2:A13,A3)</f>
        <v/>
      </c>
      <c r="E3" s="2">
        <f>SUMIFS(Calculations!U2:U13,Calculations!A2:A13,A3)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SUMIFS(Calculations!R2:R13,Calculations!A2:A13,A4)</f>
        <v/>
      </c>
      <c r="C4" s="2">
        <f>SUMIFS(Calculations!T2:T13,Calculations!A2:A13,A4)+SUMIFS(Calculations!V2:V13,Calculations!A2:A13,A4)+SUMIFS(Calculations!W2:W13,Calculations!A2:A13,A4)</f>
        <v/>
      </c>
      <c r="D4" s="2">
        <f>SUMIFS(Calculations!S2:S13,Calculations!A2:A13,A4)</f>
        <v/>
      </c>
      <c r="E4" s="2">
        <f>SUMIFS(Calculations!U2:U13,Calculations!A2:A13,A4)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A</t>
        </is>
      </c>
      <c r="B2" t="inlineStr">
        <is>
          <t>Custom</t>
        </is>
      </c>
      <c r="C2" s="2" t="n">
        <v>2</v>
      </c>
      <c r="D2" s="2" t="n">
        <v>8</v>
      </c>
      <c r="G2" t="inlineStr">
        <is>
          <t>Architect-supplied custom rates</t>
        </is>
      </c>
      <c r="H2" t="inlineStr">
        <is>
          <t>2026-10-05T00:16:57.800Z</t>
        </is>
      </c>
      <c r="I2" s="2" t="b">
        <v>1</v>
      </c>
      <c r="J2" t="inlineStr"/>
      <c r="K2" t="inlineStr"/>
      <c r="L2" t="inlineStr">
        <is>
          <t>custom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</sheetData>
  <autoFilter ref="A1:R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Mortgage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2026-10-05T00:16:59Z</dcterms:created>
  <dcterms:modified xsi:type="dcterms:W3CDTF">2026-10-05T00:16:59Z</dcterms:modified>
</cp:coreProperties>
</file>