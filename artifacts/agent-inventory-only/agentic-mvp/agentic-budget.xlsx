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scenario summary" sheetId="13" state="visible" r:id="rId13"/>
    <sheet name="Monthly category summary" sheetId="14" state="visible" r:id="rId14"/>
    <sheet name="Profiles" sheetId="15" state="visible" r:id="rId15"/>
    <sheet name="Scenarios" sheetId="16" state="visible" r:id="rId16"/>
    <sheet name="Additional costs" sheetId="17" state="visible" r:id="rId17"/>
    <sheet name="Pricing" sheetId="18" state="visible" r:id="rId18"/>
    <sheet name="Read me" sheetId="19" state="visible" r:id="rId19"/>
  </sheets>
  <definedNames>
    <definedName name="_xlnm._FilterDatabase" localSheetId="0" hidden="1">'Summary'!$A$1:$J$4</definedName>
    <definedName name="_xlnm._FilterDatabase" localSheetId="1" hidden="1">'Calculations'!$A$1:$AM$10</definedName>
    <definedName name="_xlnm._FilterDatabase" localSheetId="2" hidden="1">'Agents'!$A$1:$P$3</definedName>
    <definedName name="_xlnm._FilterDatabase" localSheetId="3" hidden="1">'Agent identities'!$A$1:$E$3</definedName>
    <definedName name="_xlnm._FilterDatabase" localSheetId="4" hidden="1">'Volume'!$A$1:$L$3</definedName>
    <definedName name="_xlnm._FilterDatabase" localSheetId="5" hidden="1">'Agent links'!$A$1:$M$4</definedName>
    <definedName name="_xlnm._FilterDatabase" localSheetId="6" hidden="1">'Tool costs'!$A$1:$J$4</definedName>
    <definedName name="_xlnm._FilterDatabase" localSheetId="7" hidden="1">'Harness'!$A$1:$K$4</definedName>
    <definedName name="_xlnm._FilterDatabase" localSheetId="8" hidden="1">'Use cases'!$A$1:$I$7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scenario summary'!$A$1:$K$4</definedName>
    <definedName name="_xlnm._FilterDatabase" localSheetId="13" hidden="1">'Monthly category summary'!$A$1:$H$5</definedName>
    <definedName name="_xlnm._FilterDatabase" localSheetId="14" hidden="1">'Profiles'!$A$1:$G$4</definedName>
    <definedName name="_xlnm._FilterDatabase" localSheetId="15" hidden="1">'Scenarios'!$A$1:$G$4</definedName>
    <definedName name="_xlnm._FilterDatabase" localSheetId="16" hidden="1">'Additional costs'!$A$1:$A$1</definedName>
    <definedName name="_xlnm._FilterDatabase" localSheetId="17" hidden="1">'Pricing'!$A$1:$R$3</definedName>
    <definedName name="_xlnm._FilterDatabase" localSheetId="18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SUM(Calculations!X2:X4)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SUMIF('Tool costs'!A2:A2,A2,'Tool costs'!I2:I2)</f>
        <v/>
      </c>
      <c r="J2" s="2">
        <f>Harness!I2</f>
        <v/>
      </c>
    </row>
    <row r="3">
      <c r="A3" t="inlineStr">
        <is>
          <t>Expected</t>
        </is>
      </c>
      <c r="B3" s="2">
        <f>SUM(Calculations!X5:X7)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SUMIF('Tool costs'!A2:A3,A3,'Tool costs'!I2:I3)</f>
        <v/>
      </c>
      <c r="J3" s="2">
        <f>Harness!I3</f>
        <v/>
      </c>
    </row>
    <row r="4">
      <c r="A4" t="inlineStr">
        <is>
          <t>High</t>
        </is>
      </c>
      <c r="B4" s="2">
        <f>SUM(Calculations!X8:X10)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SUMIF('Tool costs'!A2:A4,A4,'Tool costs'!I2:I4)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Resolve inquiry</t>
        </is>
      </c>
      <c r="C2" t="inlineStr">
        <is>
          <t>Classify</t>
        </is>
      </c>
      <c r="D2" t="inlineStr">
        <is>
          <t>Fixture A</t>
        </is>
      </c>
      <c r="E2" s="2" t="n">
        <v>1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3.333333333333333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L2" t="inlineStr">
        <is>
          <t>classify</t>
        </is>
      </c>
      <c r="AM2" t="inlineStr">
        <is>
          <t>reasoning</t>
        </is>
      </c>
    </row>
    <row r="3">
      <c r="A3" t="inlineStr">
        <is>
          <t>Low</t>
        </is>
      </c>
      <c r="B3" t="inlineStr">
        <is>
          <t>Resolve inquiry</t>
        </is>
      </c>
      <c r="C3" t="inlineStr">
        <is>
          <t>Verify</t>
        </is>
      </c>
      <c r="D3" t="inlineStr">
        <is>
          <t>Fixture A</t>
        </is>
      </c>
      <c r="E3" s="2" t="n">
        <v>1</v>
      </c>
      <c r="F3" s="2">
        <f>IF(Z3="daily_users",AA3*AB3*AC3,AD3)*AE3</f>
        <v/>
      </c>
      <c r="G3" s="2">
        <f>AJ3*AK3</f>
        <v/>
      </c>
      <c r="H3" s="2" t="n">
        <v>0</v>
      </c>
      <c r="I3" s="2" t="n">
        <v>150</v>
      </c>
      <c r="J3" s="2" t="n">
        <v>37.5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1</v>
      </c>
      <c r="AB3" s="2" t="n">
        <v>3.333333333333333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0.125</v>
      </c>
      <c r="AL3" t="inlineStr">
        <is>
          <t>verify</t>
        </is>
      </c>
      <c r="AM3" t="inlineStr">
        <is>
          <t>reasoning</t>
        </is>
      </c>
    </row>
    <row r="4">
      <c r="A4" t="inlineStr">
        <is>
          <t>Low</t>
        </is>
      </c>
      <c r="B4" t="inlineStr">
        <is>
          <t>Research documents</t>
        </is>
      </c>
      <c r="C4" t="inlineStr">
        <is>
          <t>Research</t>
        </is>
      </c>
      <c r="D4" t="inlineStr">
        <is>
          <t>Fixture B</t>
        </is>
      </c>
      <c r="E4" s="2" t="n">
        <v>1</v>
      </c>
      <c r="F4" s="2" t="n">
        <v>50</v>
      </c>
      <c r="G4" s="2">
        <f>AJ4*AK4</f>
        <v/>
      </c>
      <c r="H4" s="2" t="n">
        <v>0</v>
      </c>
      <c r="I4" s="2" t="n">
        <v>375</v>
      </c>
      <c r="J4" s="2" t="n">
        <v>75</v>
      </c>
      <c r="K4" s="2" t="n">
        <v>0</v>
      </c>
      <c r="L4" s="2" t="n">
        <v>0</v>
      </c>
      <c r="M4" s="2" t="n">
        <v>1</v>
      </c>
      <c r="N4" s="2" t="n">
        <v>4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derived</t>
        </is>
      </c>
      <c r="AA4" s="2" t="n">
        <v>0</v>
      </c>
      <c r="AB4" s="2" t="n">
        <v>0</v>
      </c>
      <c r="AC4" s="2" t="n">
        <v>30</v>
      </c>
      <c r="AD4" s="2" t="n">
        <v>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2</v>
      </c>
      <c r="AK4" s="2" t="n">
        <v>1</v>
      </c>
      <c r="AL4" t="inlineStr">
        <is>
          <t>research</t>
        </is>
      </c>
      <c r="AM4" t="inlineStr">
        <is>
          <t>reasoning</t>
        </is>
      </c>
    </row>
    <row r="5">
      <c r="A5" t="inlineStr">
        <is>
          <t>Expected</t>
        </is>
      </c>
      <c r="B5" t="inlineStr">
        <is>
          <t>Resolve inquiry</t>
        </is>
      </c>
      <c r="C5" t="inlineStr">
        <is>
          <t>Classify</t>
        </is>
      </c>
      <c r="D5" t="inlineStr">
        <is>
          <t>Fixture A</t>
        </is>
      </c>
      <c r="E5" s="2" t="n">
        <v>1</v>
      </c>
      <c r="F5" s="2">
        <f>IF(Z5="daily_users",AA5*AB5*AC5,AD5)*AE5</f>
        <v/>
      </c>
      <c r="G5" s="2">
        <f>AJ5*AK5</f>
        <v/>
      </c>
      <c r="H5" s="2" t="n">
        <v>0</v>
      </c>
      <c r="I5" s="2" t="n">
        <v>1000</v>
      </c>
      <c r="J5" s="2" t="n">
        <v>100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1</v>
      </c>
      <c r="AB5" s="2" t="n">
        <v>3.333333333333333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L5" t="inlineStr">
        <is>
          <t>classify</t>
        </is>
      </c>
      <c r="AM5" t="inlineStr">
        <is>
          <t>reasoning</t>
        </is>
      </c>
    </row>
    <row r="6">
      <c r="A6" t="inlineStr">
        <is>
          <t>Expected</t>
        </is>
      </c>
      <c r="B6" t="inlineStr">
        <is>
          <t>Resolve inquiry</t>
        </is>
      </c>
      <c r="C6" t="inlineStr">
        <is>
          <t>Verify</t>
        </is>
      </c>
      <c r="D6" t="inlineStr">
        <is>
          <t>Fixture A</t>
        </is>
      </c>
      <c r="E6" s="2" t="n">
        <v>1</v>
      </c>
      <c r="F6" s="2">
        <f>IF(Z6="daily_users",AA6*AB6*AC6,AD6)*AE6</f>
        <v/>
      </c>
      <c r="G6" s="2">
        <f>AJ6*AK6</f>
        <v/>
      </c>
      <c r="H6" s="2" t="n">
        <v>0</v>
      </c>
      <c r="I6" s="2" t="n">
        <v>200</v>
      </c>
      <c r="J6" s="2" t="n">
        <v>50</v>
      </c>
      <c r="K6" s="2" t="n">
        <v>0</v>
      </c>
      <c r="L6" s="2" t="n">
        <v>0</v>
      </c>
      <c r="M6" s="2" t="n">
        <v>2</v>
      </c>
      <c r="N6" s="2" t="n">
        <v>8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1</v>
      </c>
      <c r="AB6" s="2" t="n">
        <v>3.333333333333333</v>
      </c>
      <c r="AC6" s="2" t="n">
        <v>30</v>
      </c>
      <c r="AD6" s="2" t="n">
        <v>0</v>
      </c>
      <c r="AE6" s="2" t="n">
        <v>1</v>
      </c>
      <c r="AF6" t="inlineStr">
        <is>
          <t>simple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0.125</v>
      </c>
      <c r="AL6" t="inlineStr">
        <is>
          <t>verify</t>
        </is>
      </c>
      <c r="AM6" t="inlineStr">
        <is>
          <t>reasoning</t>
        </is>
      </c>
    </row>
    <row r="7">
      <c r="A7" t="inlineStr">
        <is>
          <t>Expected</t>
        </is>
      </c>
      <c r="B7" t="inlineStr">
        <is>
          <t>Research documents</t>
        </is>
      </c>
      <c r="C7" t="inlineStr">
        <is>
          <t>Research</t>
        </is>
      </c>
      <c r="D7" t="inlineStr">
        <is>
          <t>Fixture B</t>
        </is>
      </c>
      <c r="E7" s="2" t="n">
        <v>1</v>
      </c>
      <c r="F7" s="2" t="n">
        <v>50</v>
      </c>
      <c r="G7" s="2">
        <f>AJ7*AK7</f>
        <v/>
      </c>
      <c r="H7" s="2" t="n">
        <v>0</v>
      </c>
      <c r="I7" s="2" t="n">
        <v>500</v>
      </c>
      <c r="J7" s="2" t="n">
        <v>100</v>
      </c>
      <c r="K7" s="2" t="n">
        <v>0</v>
      </c>
      <c r="L7" s="2" t="n">
        <v>0</v>
      </c>
      <c r="M7" s="2" t="n">
        <v>1</v>
      </c>
      <c r="N7" s="2" t="n">
        <v>4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derived</t>
        </is>
      </c>
      <c r="AA7" s="2" t="n">
        <v>0</v>
      </c>
      <c r="AB7" s="2" t="n">
        <v>0</v>
      </c>
      <c r="AC7" s="2" t="n">
        <v>30</v>
      </c>
      <c r="AD7" s="2" t="n">
        <v>0</v>
      </c>
      <c r="AE7" s="2" t="n">
        <v>1</v>
      </c>
      <c r="AF7" t="inlineStr">
        <is>
          <t>simple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2</v>
      </c>
      <c r="AK7" s="2" t="n">
        <v>1</v>
      </c>
      <c r="AL7" t="inlineStr">
        <is>
          <t>research</t>
        </is>
      </c>
      <c r="AM7" t="inlineStr">
        <is>
          <t>reasoning</t>
        </is>
      </c>
    </row>
    <row r="8">
      <c r="A8" t="inlineStr">
        <is>
          <t>High</t>
        </is>
      </c>
      <c r="B8" t="inlineStr">
        <is>
          <t>Resolve inquiry</t>
        </is>
      </c>
      <c r="C8" t="inlineStr">
        <is>
          <t>Classify</t>
        </is>
      </c>
      <c r="D8" t="inlineStr">
        <is>
          <t>Fixture A</t>
        </is>
      </c>
      <c r="E8" s="2" t="n">
        <v>1</v>
      </c>
      <c r="F8" s="2">
        <f>IF(Z8="daily_users",AA8*AB8*AC8,AD8)*AE8</f>
        <v/>
      </c>
      <c r="G8" s="2">
        <f>AJ8*AK8</f>
        <v/>
      </c>
      <c r="H8" s="2" t="n">
        <v>0</v>
      </c>
      <c r="I8" s="2" t="n">
        <v>1500</v>
      </c>
      <c r="J8" s="2" t="n">
        <v>150</v>
      </c>
      <c r="K8" s="2" t="n">
        <v>0</v>
      </c>
      <c r="L8" s="2" t="n">
        <v>0</v>
      </c>
      <c r="M8" s="2" t="n">
        <v>2</v>
      </c>
      <c r="N8" s="2" t="n">
        <v>8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daily_users</t>
        </is>
      </c>
      <c r="AA8" s="2" t="n">
        <v>1</v>
      </c>
      <c r="AB8" s="2" t="n">
        <v>3.333333333333333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L8" t="inlineStr">
        <is>
          <t>classify</t>
        </is>
      </c>
      <c r="AM8" t="inlineStr">
        <is>
          <t>reasoning</t>
        </is>
      </c>
    </row>
    <row r="9">
      <c r="A9" t="inlineStr">
        <is>
          <t>High</t>
        </is>
      </c>
      <c r="B9" t="inlineStr">
        <is>
          <t>Resolve inquiry</t>
        </is>
      </c>
      <c r="C9" t="inlineStr">
        <is>
          <t>Verify</t>
        </is>
      </c>
      <c r="D9" t="inlineStr">
        <is>
          <t>Fixture A</t>
        </is>
      </c>
      <c r="E9" s="2" t="n">
        <v>1</v>
      </c>
      <c r="F9" s="2">
        <f>IF(Z9="daily_users",AA9*AB9*AC9,AD9)*AE9</f>
        <v/>
      </c>
      <c r="G9" s="2">
        <f>AJ9*AK9</f>
        <v/>
      </c>
      <c r="H9" s="2" t="n">
        <v>0</v>
      </c>
      <c r="I9" s="2" t="n">
        <v>300</v>
      </c>
      <c r="J9" s="2" t="n">
        <v>75</v>
      </c>
      <c r="K9" s="2" t="n">
        <v>0</v>
      </c>
      <c r="L9" s="2" t="n">
        <v>0</v>
      </c>
      <c r="M9" s="2" t="n">
        <v>2</v>
      </c>
      <c r="N9" s="2" t="n">
        <v>8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daily_users</t>
        </is>
      </c>
      <c r="AA9" s="2" t="n">
        <v>1</v>
      </c>
      <c r="AB9" s="2" t="n">
        <v>3.333333333333333</v>
      </c>
      <c r="AC9" s="2" t="n">
        <v>30</v>
      </c>
      <c r="AD9" s="2" t="n">
        <v>0</v>
      </c>
      <c r="AE9" s="2" t="n">
        <v>1</v>
      </c>
      <c r="AF9" t="inlineStr">
        <is>
          <t>simple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1</v>
      </c>
      <c r="AK9" s="2" t="n">
        <v>0.125</v>
      </c>
      <c r="AL9" t="inlineStr">
        <is>
          <t>verify</t>
        </is>
      </c>
      <c r="AM9" t="inlineStr">
        <is>
          <t>reasoning</t>
        </is>
      </c>
    </row>
    <row r="10">
      <c r="A10" t="inlineStr">
        <is>
          <t>High</t>
        </is>
      </c>
      <c r="B10" t="inlineStr">
        <is>
          <t>Research documents</t>
        </is>
      </c>
      <c r="C10" t="inlineStr">
        <is>
          <t>Research</t>
        </is>
      </c>
      <c r="D10" t="inlineStr">
        <is>
          <t>Fixture B</t>
        </is>
      </c>
      <c r="E10" s="2" t="n">
        <v>1</v>
      </c>
      <c r="F10" s="2" t="n">
        <v>50</v>
      </c>
      <c r="G10" s="2">
        <f>AJ10*AK10</f>
        <v/>
      </c>
      <c r="H10" s="2" t="n">
        <v>0</v>
      </c>
      <c r="I10" s="2" t="n">
        <v>750</v>
      </c>
      <c r="J10" s="2" t="n">
        <v>150</v>
      </c>
      <c r="K10" s="2" t="n">
        <v>0</v>
      </c>
      <c r="L10" s="2" t="n">
        <v>0</v>
      </c>
      <c r="M10" s="2" t="n">
        <v>1</v>
      </c>
      <c r="N10" s="2" t="n">
        <v>4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derived</t>
        </is>
      </c>
      <c r="AA10" s="2" t="n">
        <v>0</v>
      </c>
      <c r="AB10" s="2" t="n">
        <v>0</v>
      </c>
      <c r="AC10" s="2" t="n">
        <v>30</v>
      </c>
      <c r="AD10" s="2" t="n">
        <v>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2</v>
      </c>
      <c r="AK10" s="2" t="n">
        <v>1</v>
      </c>
      <c r="AL10" t="inlineStr">
        <is>
          <t>research</t>
        </is>
      </c>
      <c r="AM10" t="inlineStr">
        <is>
          <t>reasoning</t>
        </is>
      </c>
    </row>
  </sheetData>
  <autoFilter ref="A1:A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Resolve inquiry</t>
        </is>
      </c>
      <c r="B2" t="inlineStr">
        <is>
          <t>simple</t>
        </is>
      </c>
      <c r="C2" s="2" t="n">
        <v>1</v>
      </c>
      <c r="D2" s="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3.333333333333333</v>
      </c>
      <c r="O2" t="inlineStr">
        <is>
          <t>router</t>
        </is>
      </c>
      <c r="P2" t="inlineStr">
        <is>
          <t>Business use case pending description</t>
        </is>
      </c>
    </row>
    <row r="3">
      <c r="A3" t="inlineStr">
        <is>
          <t>Research documents</t>
        </is>
      </c>
      <c r="B3" t="inlineStr">
        <is>
          <t>simple</t>
        </is>
      </c>
      <c r="C3" s="2" t="n">
        <v>1</v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derived</t>
        </is>
      </c>
      <c r="M3" s="2" t="n">
        <v>0</v>
      </c>
      <c r="N3" s="2" t="n">
        <v>0</v>
      </c>
      <c r="O3" t="inlineStr">
        <is>
          <t>specialist</t>
        </is>
      </c>
      <c r="P3" t="inlineStr">
        <is>
          <t>Business use case pending description</t>
        </is>
      </c>
    </row>
  </sheetData>
  <autoFilter ref="A1:P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Source ID</t>
        </is>
      </c>
      <c r="B1" s="1" t="inlineStr">
        <is>
          <t>Source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router</t>
        </is>
      </c>
      <c r="B2" t="inlineStr">
        <is>
          <t>Resolve inquiry</t>
        </is>
      </c>
      <c r="C2" t="inlineStr">
        <is>
          <t>router</t>
        </is>
      </c>
      <c r="D2" t="inlineStr">
        <is>
          <t>Resolve inquiry</t>
        </is>
      </c>
      <c r="E2" t="inlineStr">
        <is>
          <t>Business use case pending description</t>
        </is>
      </c>
    </row>
    <row r="3">
      <c r="A3" t="inlineStr">
        <is>
          <t>specialist</t>
        </is>
      </c>
      <c r="B3" t="inlineStr">
        <is>
          <t>Research documents</t>
        </is>
      </c>
      <c r="C3" t="inlineStr">
        <is>
          <t>specialist</t>
        </is>
      </c>
      <c r="D3" t="inlineStr">
        <is>
          <t>Research documents</t>
        </is>
      </c>
      <c r="E3" t="inlineStr">
        <is>
          <t>Business use case pending description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Resolve inquiry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1</v>
      </c>
      <c r="F2" s="2" t="n">
        <v>3.333333333333333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router</t>
        </is>
      </c>
    </row>
    <row r="3">
      <c r="A3" t="inlineStr">
        <is>
          <t>Research documents</t>
        </is>
      </c>
      <c r="B3" t="inlineStr">
        <is>
          <t>simple</t>
        </is>
      </c>
      <c r="C3" s="2" t="n">
        <v>1</v>
      </c>
      <c r="D3" t="inlineStr">
        <is>
          <t>derived</t>
        </is>
      </c>
      <c r="E3" s="2" t="n">
        <v>0</v>
      </c>
      <c r="F3" s="2" t="n">
        <v>0</v>
      </c>
      <c r="G3" s="2" t="n">
        <v>30</v>
      </c>
      <c r="H3" s="2" t="n">
        <v>0</v>
      </c>
      <c r="I3" s="2" t="n">
        <v>50</v>
      </c>
      <c r="J3" s="2">
        <f>C3*I3</f>
        <v/>
      </c>
      <c r="K3" t="inlineStr">
        <is>
          <t>specialist</t>
        </is>
      </c>
      <c r="L3" t="inlineStr">
        <is>
          <t>daily_users</t>
        </is>
      </c>
    </row>
  </sheetData>
  <autoFilter ref="A1:L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Caller agent</t>
        </is>
      </c>
      <c r="C1" s="1" t="inlineStr">
        <is>
          <t>Child agent</t>
        </is>
      </c>
      <c r="D1" s="1" t="inlineStr">
        <is>
          <t>Exclusive branch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  <row r="2">
      <c r="A2" t="inlineStr">
        <is>
          <t>Low</t>
        </is>
      </c>
      <c r="B2" t="inlineStr">
        <is>
          <t>Resolve inquiry</t>
        </is>
      </c>
      <c r="C2" t="inlineStr">
        <is>
          <t>Research documents</t>
        </is>
      </c>
      <c r="D2" t="inlineStr"/>
      <c r="E2" s="2" t="n">
        <v>1</v>
      </c>
      <c r="F2" s="2" t="n">
        <v>2</v>
      </c>
      <c r="G2" s="2" t="n">
        <v>100</v>
      </c>
      <c r="H2" s="2">
        <f>E2*F2*G2*M2</f>
        <v/>
      </c>
      <c r="I2" t="inlineStr">
        <is>
          <t>Complete</t>
        </is>
      </c>
      <c r="J2" t="inlineStr">
        <is>
          <t>delegation</t>
        </is>
      </c>
      <c r="K2" t="inlineStr">
        <is>
          <t>router</t>
        </is>
      </c>
      <c r="L2" t="inlineStr">
        <is>
          <t>specialist</t>
        </is>
      </c>
      <c r="M2" s="2" t="n">
        <v>0.25</v>
      </c>
    </row>
    <row r="3">
      <c r="A3" t="inlineStr">
        <is>
          <t>Expected</t>
        </is>
      </c>
      <c r="B3" t="inlineStr">
        <is>
          <t>Resolve inquiry</t>
        </is>
      </c>
      <c r="C3" t="inlineStr">
        <is>
          <t>Research documents</t>
        </is>
      </c>
      <c r="D3" t="inlineStr"/>
      <c r="E3" s="2" t="n">
        <v>1</v>
      </c>
      <c r="F3" s="2" t="n">
        <v>2</v>
      </c>
      <c r="G3" s="2" t="n">
        <v>100</v>
      </c>
      <c r="H3" s="2">
        <f>E3*F3*G3*M3</f>
        <v/>
      </c>
      <c r="I3" t="inlineStr">
        <is>
          <t>Complete</t>
        </is>
      </c>
      <c r="J3" t="inlineStr">
        <is>
          <t>delegation</t>
        </is>
      </c>
      <c r="K3" t="inlineStr">
        <is>
          <t>router</t>
        </is>
      </c>
      <c r="L3" t="inlineStr">
        <is>
          <t>specialist</t>
        </is>
      </c>
      <c r="M3" s="2" t="n">
        <v>0.25</v>
      </c>
    </row>
    <row r="4">
      <c r="A4" t="inlineStr">
        <is>
          <t>High</t>
        </is>
      </c>
      <c r="B4" t="inlineStr">
        <is>
          <t>Resolve inquiry</t>
        </is>
      </c>
      <c r="C4" t="inlineStr">
        <is>
          <t>Research documents</t>
        </is>
      </c>
      <c r="D4" t="inlineStr"/>
      <c r="E4" s="2" t="n">
        <v>1</v>
      </c>
      <c r="F4" s="2" t="n">
        <v>2</v>
      </c>
      <c r="G4" s="2" t="n">
        <v>100</v>
      </c>
      <c r="H4" s="2">
        <f>E4*F4*G4*M4</f>
        <v/>
      </c>
      <c r="I4" t="inlineStr">
        <is>
          <t>Complete</t>
        </is>
      </c>
      <c r="J4" t="inlineStr">
        <is>
          <t>delegation</t>
        </is>
      </c>
      <c r="K4" t="inlineStr">
        <is>
          <t>router</t>
        </is>
      </c>
      <c r="L4" t="inlineStr">
        <is>
          <t>specialist</t>
        </is>
      </c>
      <c r="M4" s="2" t="n">
        <v>0.25</v>
      </c>
    </row>
  </sheetData>
  <autoFilter ref="A1:M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  <row r="2">
      <c r="A2" t="inlineStr">
        <is>
          <t>Low</t>
        </is>
      </c>
      <c r="B2" t="inlineStr">
        <is>
          <t>Resolve inquiry</t>
        </is>
      </c>
      <c r="C2" t="inlineStr">
        <is>
          <t>Search API</t>
        </is>
      </c>
      <c r="D2" s="2" t="n">
        <v>100</v>
      </c>
      <c r="E2" s="2" t="n">
        <v>0.25</v>
      </c>
      <c r="F2" s="2" t="n">
        <v>0.5</v>
      </c>
      <c r="G2" s="2" t="n">
        <v>1</v>
      </c>
      <c r="H2" s="2" t="n">
        <v>0.1</v>
      </c>
      <c r="I2" s="2">
        <f>D2*E2*F2*G2*H2</f>
        <v/>
      </c>
      <c r="J2" t="inlineStr">
        <is>
          <t>verify</t>
        </is>
      </c>
    </row>
    <row r="3">
      <c r="A3" t="inlineStr">
        <is>
          <t>Expected</t>
        </is>
      </c>
      <c r="B3" t="inlineStr">
        <is>
          <t>Resolve inquiry</t>
        </is>
      </c>
      <c r="C3" t="inlineStr">
        <is>
          <t>Search API</t>
        </is>
      </c>
      <c r="D3" s="2" t="n">
        <v>100</v>
      </c>
      <c r="E3" s="2" t="n">
        <v>0.25</v>
      </c>
      <c r="F3" s="2" t="n">
        <v>0.5</v>
      </c>
      <c r="G3" s="2" t="n">
        <v>1</v>
      </c>
      <c r="H3" s="2" t="n">
        <v>0.1</v>
      </c>
      <c r="I3" s="2">
        <f>D3*E3*F3*G3*H3</f>
        <v/>
      </c>
      <c r="J3" t="inlineStr">
        <is>
          <t>verify</t>
        </is>
      </c>
    </row>
    <row r="4">
      <c r="A4" t="inlineStr">
        <is>
          <t>High</t>
        </is>
      </c>
      <c r="B4" t="inlineStr">
        <is>
          <t>Resolve inquiry</t>
        </is>
      </c>
      <c r="C4" t="inlineStr">
        <is>
          <t>Search API</t>
        </is>
      </c>
      <c r="D4" s="2" t="n">
        <v>100</v>
      </c>
      <c r="E4" s="2" t="n">
        <v>0.25</v>
      </c>
      <c r="F4" s="2" t="n">
        <v>0.5</v>
      </c>
      <c r="G4" s="2" t="n">
        <v>1</v>
      </c>
      <c r="H4" s="2" t="n">
        <v>0.1</v>
      </c>
      <c r="I4" s="2">
        <f>D4*E4*F4*G4*H4</f>
        <v/>
      </c>
      <c r="J4" t="inlineStr">
        <is>
          <t>verify</t>
        </is>
      </c>
    </row>
  </sheetData>
  <autoFilter ref="A1:J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managed_platform</t>
        </is>
      </c>
      <c r="C2" t="inlineStr">
        <is>
          <t>Shared runtime</t>
        </is>
      </c>
      <c r="D2" s="2" t="n">
        <v>10</v>
      </c>
      <c r="E2" s="2" t="n">
        <v>150</v>
      </c>
      <c r="F2" s="2" t="n">
        <v>0.01</v>
      </c>
      <c r="G2" s="2" t="n">
        <v>175</v>
      </c>
      <c r="H2" s="2" t="n">
        <v>0.001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managed_platform</t>
        </is>
      </c>
      <c r="C3" t="inlineStr">
        <is>
          <t>Shared runtime</t>
        </is>
      </c>
      <c r="D3" s="2" t="n">
        <v>10</v>
      </c>
      <c r="E3" s="2" t="n">
        <v>150</v>
      </c>
      <c r="F3" s="2" t="n">
        <v>0.01</v>
      </c>
      <c r="G3" s="2" t="n">
        <v>175</v>
      </c>
      <c r="H3" s="2" t="n">
        <v>0.001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managed_platform</t>
        </is>
      </c>
      <c r="C4" t="inlineStr">
        <is>
          <t>Shared runtime</t>
        </is>
      </c>
      <c r="D4" s="2" t="n">
        <v>10</v>
      </c>
      <c r="E4" s="2" t="n">
        <v>150</v>
      </c>
      <c r="F4" s="2" t="n">
        <v>0.01</v>
      </c>
      <c r="G4" s="2" t="n">
        <v>175</v>
      </c>
      <c r="H4" s="2" t="n">
        <v>0.001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Resolve inquiry</t>
        </is>
      </c>
      <c r="C2" t="inlineStr">
        <is>
          <t>Resolve inquiry</t>
        </is>
      </c>
      <c r="D2" s="2" t="n">
        <v>100</v>
      </c>
      <c r="E2" s="2" t="n">
        <v>0.014675</v>
      </c>
      <c r="F2" s="2" t="n">
        <v>0.07783333333333334</v>
      </c>
      <c r="G2" s="2" t="n">
        <v>0.1321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Research documents</t>
        </is>
      </c>
      <c r="C3" t="inlineStr">
        <is>
          <t>Research documents</t>
        </is>
      </c>
      <c r="D3" s="2" t="n">
        <v>50</v>
      </c>
      <c r="E3" s="2" t="n">
        <v>0.00135</v>
      </c>
      <c r="F3" s="2" t="n">
        <v>0.07783333333333334</v>
      </c>
      <c r="G3" s="2" t="n">
        <v>0.07918333333333333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Expected</t>
        </is>
      </c>
      <c r="B4" t="inlineStr">
        <is>
          <t>Resolve inquiry</t>
        </is>
      </c>
      <c r="C4" t="inlineStr">
        <is>
          <t>Resolve inquiry</t>
        </is>
      </c>
      <c r="D4" s="2" t="n">
        <v>100</v>
      </c>
      <c r="E4" s="2" t="n">
        <v>0.0154</v>
      </c>
      <c r="F4" s="2" t="n">
        <v>0.07783333333333334</v>
      </c>
      <c r="G4" s="2" t="n">
        <v>0.13305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Expected</t>
        </is>
      </c>
      <c r="B5" t="inlineStr">
        <is>
          <t>Research documents</t>
        </is>
      </c>
      <c r="C5" t="inlineStr">
        <is>
          <t>Research documents</t>
        </is>
      </c>
      <c r="D5" s="2" t="n">
        <v>50</v>
      </c>
      <c r="E5" s="2" t="n">
        <v>0.0018</v>
      </c>
      <c r="F5" s="2" t="n">
        <v>0.07783333333333334</v>
      </c>
      <c r="G5" s="2" t="n">
        <v>0.07963333333333333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High</t>
        </is>
      </c>
      <c r="B6" t="inlineStr">
        <is>
          <t>Resolve inquiry</t>
        </is>
      </c>
      <c r="C6" t="inlineStr">
        <is>
          <t>Resolve inquiry</t>
        </is>
      </c>
      <c r="D6" s="2" t="n">
        <v>100</v>
      </c>
      <c r="E6" s="2" t="n">
        <v>0.01685</v>
      </c>
      <c r="F6" s="2" t="n">
        <v>0.07783333333333334</v>
      </c>
      <c r="G6" s="2" t="n">
        <v>0.13495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High</t>
        </is>
      </c>
      <c r="B7" t="inlineStr">
        <is>
          <t>Research documents</t>
        </is>
      </c>
      <c r="C7" t="inlineStr">
        <is>
          <t>Research documents</t>
        </is>
      </c>
      <c r="D7" s="2" t="n">
        <v>50</v>
      </c>
      <c r="E7" s="2" t="n">
        <v>0.0027</v>
      </c>
      <c r="F7" s="2" t="n">
        <v>0.07783333333333334</v>
      </c>
      <c r="G7" s="2" t="n">
        <v>0.08053333333333333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</sheetData>
  <autoFilter ref="A1:I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SUMIF(Volume!B2:B3,A2,Volume!J2:J3)</f>
        <v/>
      </c>
    </row>
    <row r="3">
      <c r="A3" t="inlineStr">
        <is>
          <t>medium</t>
        </is>
      </c>
      <c r="B3" s="2">
        <f>SUMIF(Volume!B2:B3,A3,Volume!J2:J3)</f>
        <v/>
      </c>
    </row>
    <row r="4">
      <c r="A4" t="inlineStr">
        <is>
          <t>high</t>
        </is>
      </c>
      <c r="B4" s="2">
        <f>SUMIF(Volume!B2:B3,A4,Volume!J2:J3)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SUMIFS(Calculations!R2:R10,Calculations!A2:A10,"Expected",Calculations!AF2:AF10,A2)</f>
        <v/>
      </c>
      <c r="C2" s="2">
        <f>SUMIFS(Calculations!S2:S10,Calculations!A2:A10,"Expected",Calculations!AF2:AF10,A2)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SUMIFS(Calculations!R2:R10,Calculations!A2:A10,"Expected",Calculations!AF2:AF10,A3)</f>
        <v/>
      </c>
      <c r="C3" s="2">
        <f>SUMIFS(Calculations!S2:S10,Calculations!A2:A10,"Expected",Calculations!AF2:AF10,A3)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SUMIFS(Calculations!R2:R10,Calculations!A2:A10,"Expected",Calculations!AF2:AF10,A4)</f>
        <v/>
      </c>
      <c r="C4" s="2">
        <f>SUMIFS(Calculations!S2:S10,Calculations!A2:A10,"Expected",Calculations!AF2:AF10,A4)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SUMIFS(Calculations!AG2:AG10,Calculations!A2:A10,"Expected",Calculations!AF2:AF10,A2)</f>
        <v/>
      </c>
      <c r="D2" s="2">
        <f>SUMIFS(Calculations!T2:T10,Calculations!A2:A10,"Expected",Calculations!AF2:AF10,A2)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SUMIFS(Calculations!AH2:AH10,Calculations!A2:A10,"Expected",Calculations!AF2:AF10,A3)</f>
        <v/>
      </c>
      <c r="D3" s="2">
        <f>SUMIFS(Calculations!V2:V10,Calculations!A2:A10,"Expected",Calculations!AF2:AF10,A3)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SUMIFS(Calculations!AI2:AI10,Calculations!A2:A10,"Expected",Calculations!AF2:AF10,A4)</f>
        <v/>
      </c>
      <c r="D4" s="2">
        <f>SUMIFS(Calculations!W2:W10,Calculations!A2:A10,"Expected",Calculations!AF2:AF10,A4)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SUMIFS(Calculations!S2:S10,Calculations!A2:A10,"Expected",Calculations!AF2:AF10,A5)</f>
        <v/>
      </c>
      <c r="D5" s="2">
        <f>SUMIFS(Calculations!U2:U10,Calculations!A2:A10,"Expected",Calculations!AF2:AF10,A5)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SUMIFS(Calculations!AG2:AG10,Calculations!A2:A10,"Expected",Calculations!AF2:AF10,A7)</f>
        <v/>
      </c>
      <c r="D7" s="2">
        <f>SUMIFS(Calculations!T2:T10,Calculations!A2:A10,"Expected",Calculations!AF2:AF10,A7)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SUMIFS(Calculations!AH2:AH10,Calculations!A2:A10,"Expected",Calculations!AF2:AF10,A8)</f>
        <v/>
      </c>
      <c r="D8" s="2">
        <f>SUMIFS(Calculations!V2:V10,Calculations!A2:A10,"Expected",Calculations!AF2:AF10,A8)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SUMIFS(Calculations!AI2:AI10,Calculations!A2:A10,"Expected",Calculations!AF2:AF10,A9)</f>
        <v/>
      </c>
      <c r="D9" s="2">
        <f>SUMIFS(Calculations!W2:W10,Calculations!A2:A10,"Expected",Calculations!AF2:AF10,A9)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SUMIFS(Calculations!S2:S10,Calculations!A2:A10,"Expected",Calculations!AF2:AF10,A10)</f>
        <v/>
      </c>
      <c r="D10" s="2">
        <f>SUMIFS(Calculations!U2:U10,Calculations!A2:A10,"Expected",Calculations!AF2:AF10,A10)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SUMIFS(Calculations!AG2:AG10,Calculations!A2:A10,"Expected",Calculations!AF2:AF10,A12)</f>
        <v/>
      </c>
      <c r="D12" s="2">
        <f>SUMIFS(Calculations!T2:T10,Calculations!A2:A10,"Expected",Calculations!AF2:AF10,A12)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SUMIFS(Calculations!AH2:AH10,Calculations!A2:A10,"Expected",Calculations!AF2:AF10,A13)</f>
        <v/>
      </c>
      <c r="D13" s="2">
        <f>SUMIFS(Calculations!V2:V10,Calculations!A2:A10,"Expected",Calculations!AF2:AF10,A13)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SUMIFS(Calculations!AI2:AI10,Calculations!A2:A10,"Expected",Calculations!AF2:AF10,A14)</f>
        <v/>
      </c>
      <c r="D14" s="2">
        <f>SUMIFS(Calculations!W2:W10,Calculations!A2:A10,"Expected",Calculations!AF2:AF10,A14)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SUMIFS(Calculations!S2:S10,Calculations!A2:A10,"Expected",Calculations!AF2:AF10,A15)</f>
        <v/>
      </c>
      <c r="D15" s="2">
        <f>SUMIFS(Calculations!U2:U10,Calculations!A2:A10,"Expected",Calculations!AF2:AF10,A15)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SUMIFS(Calculations!R2:R10,Calculations!A2:A10,A2)</f>
        <v/>
      </c>
      <c r="C2" s="2">
        <f>SUMIFS(Calculations!T2:T10,Calculations!A2:A10,A2)+SUMIFS(Calculations!V2:V10,Calculations!A2:A10,A2)+SUMIFS(Calculations!W2:W10,Calculations!A2:A10,A2)</f>
        <v/>
      </c>
      <c r="D2" s="2">
        <f>SUMIFS(Calculations!S2:S10,Calculations!A2:A10,A2)</f>
        <v/>
      </c>
      <c r="E2" s="2">
        <f>SUMIFS(Calculations!U2:U10,Calculations!A2:A10,A2)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SUMIFS(Calculations!R2:R10,Calculations!A2:A10,A3)</f>
        <v/>
      </c>
      <c r="C3" s="2">
        <f>SUMIFS(Calculations!T2:T10,Calculations!A2:A10,A3)+SUMIFS(Calculations!V2:V10,Calculations!A2:A10,A3)+SUMIFS(Calculations!W2:W10,Calculations!A2:A10,A3)</f>
        <v/>
      </c>
      <c r="D3" s="2">
        <f>SUMIFS(Calculations!S2:S10,Calculations!A2:A10,A3)</f>
        <v/>
      </c>
      <c r="E3" s="2">
        <f>SUMIFS(Calculations!U2:U10,Calculations!A2:A10,A3)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SUMIFS(Calculations!R2:R10,Calculations!A2:A10,A4)</f>
        <v/>
      </c>
      <c r="C4" s="2">
        <f>SUMIFS(Calculations!T2:T10,Calculations!A2:A10,A4)+SUMIFS(Calculations!V2:V10,Calculations!A2:A10,A4)+SUMIFS(Calculations!W2:W10,Calculations!A2:A10,A4)</f>
        <v/>
      </c>
      <c r="D4" s="2">
        <f>SUMIFS(Calculations!S2:S10,Calculations!A2:A10,A4)</f>
        <v/>
      </c>
      <c r="E4" s="2">
        <f>SUMIFS(Calculations!U2:U10,Calculations!A2:A10,A4)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A</t>
        </is>
      </c>
      <c r="B2" t="inlineStr">
        <is>
          <t>Fixture vendor A</t>
        </is>
      </c>
      <c r="C2" s="2" t="n">
        <v>2</v>
      </c>
      <c r="D2" s="2" t="n">
        <v>8</v>
      </c>
      <c r="G2" t="inlineStr">
        <is>
          <t>Versioned architect fixture</t>
        </is>
      </c>
      <c r="H2" t="inlineStr">
        <is>
          <t>2026-10-02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  <row r="3">
      <c r="A3" t="inlineStr">
        <is>
          <t>Fixture B</t>
        </is>
      </c>
      <c r="B3" t="inlineStr">
        <is>
          <t>Fixture vendor B</t>
        </is>
      </c>
      <c r="C3" s="2" t="n">
        <v>1</v>
      </c>
      <c r="D3" s="2" t="n">
        <v>4</v>
      </c>
      <c r="G3" t="inlineStr">
        <is>
          <t>Versioned architect fixture</t>
        </is>
      </c>
      <c r="H3" t="inlineStr">
        <is>
          <t>2026-10-02</t>
        </is>
      </c>
      <c r="I3" s="2" t="b">
        <v>1</v>
      </c>
      <c r="J3" t="inlineStr"/>
      <c r="K3" t="inlineStr"/>
      <c r="L3" t="inlineStr">
        <is>
          <t>vendor_api</t>
        </is>
      </c>
      <c r="M3" t="inlineStr"/>
      <c r="N3" t="inlineStr"/>
      <c r="O3" t="inlineStr">
        <is>
          <t>USD</t>
        </is>
      </c>
      <c r="P3" s="2" t="n">
        <v>1</v>
      </c>
      <c r="Q3" t="inlineStr"/>
      <c r="R3" t="inlineStr"/>
    </row>
  </sheetData>
  <autoFilter ref="A1:R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Agentic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2026-10-05T03:55:20Z</dcterms:created>
  <dcterms:modified xsi:type="dcterms:W3CDTF">2026-10-05T03:55:20Z</dcterms:modified>
</cp:coreProperties>
</file>