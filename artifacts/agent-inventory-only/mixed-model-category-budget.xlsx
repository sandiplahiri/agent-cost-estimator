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'Calculations'!$A$1:$AM$7</definedName>
    <definedName name="_xlnm._FilterDatabase" localSheetId="2" hidden="1">'Agents'!$A$1:$P$3</definedName>
    <definedName name="_xlnm._FilterDatabase" localSheetId="3" hidden="1">'Agent identities'!$A$1:$E$4</definedName>
    <definedName name="_xlnm._FilterDatabase" localSheetId="4" hidden="1">'Volume'!$A$1:$L$3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SUM(Calculations!X2:X3)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SUM(Calculations!X4:X5)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SUM(Calculations!X6:X7)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Imported daily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Another simple group</t>
        </is>
      </c>
      <c r="C3" t="inlineStr">
        <is>
          <t>Main step</t>
        </is>
      </c>
      <c r="D3" t="inlineStr">
        <is>
          <t>Fixture B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0.02</v>
      </c>
      <c r="I3" s="2" t="n">
        <v>1500</v>
      </c>
      <c r="J3" s="2" t="n">
        <v>375</v>
      </c>
      <c r="K3" s="2" t="n">
        <v>0</v>
      </c>
      <c r="L3" s="2" t="n">
        <v>0</v>
      </c>
      <c r="M3" s="2" t="n">
        <v>4</v>
      </c>
      <c r="N3" s="2" t="n">
        <v>10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b86c712c-2797-41fe-8c60-6adc8906645c</t>
        </is>
      </c>
      <c r="AM3" t="inlineStr"/>
    </row>
    <row r="4">
      <c r="A4" t="inlineStr">
        <is>
          <t>Expected</t>
        </is>
      </c>
      <c r="B4" t="inlineStr">
        <is>
          <t>Imported daily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0.02</v>
      </c>
      <c r="I4" s="2" t="n">
        <v>2000</v>
      </c>
      <c r="J4" s="2" t="n">
        <v>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2</v>
      </c>
      <c r="AB4" s="2" t="n">
        <v>3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Another simple group</t>
        </is>
      </c>
      <c r="C5" t="inlineStr">
        <is>
          <t>Main step</t>
        </is>
      </c>
      <c r="D5" t="inlineStr">
        <is>
          <t>Fixture B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4</v>
      </c>
      <c r="N5" s="2" t="n">
        <v>10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b86c712c-2797-41fe-8c60-6adc8906645c</t>
        </is>
      </c>
      <c r="AM5" t="inlineStr"/>
    </row>
    <row r="6">
      <c r="A6" t="inlineStr">
        <is>
          <t>High</t>
        </is>
      </c>
      <c r="B6" t="inlineStr">
        <is>
          <t>Imported daily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0.02</v>
      </c>
      <c r="I6" s="2" t="n">
        <v>3000</v>
      </c>
      <c r="J6" s="2" t="n">
        <v>750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High</t>
        </is>
      </c>
      <c r="B7" t="inlineStr">
        <is>
          <t>Another simple group</t>
        </is>
      </c>
      <c r="C7" t="inlineStr">
        <is>
          <t>Main step</t>
        </is>
      </c>
      <c r="D7" t="inlineStr">
        <is>
          <t>Fixture B</t>
        </is>
      </c>
      <c r="E7" s="2" t="n">
        <v>2</v>
      </c>
      <c r="F7" s="2">
        <f>IF(Z7="daily_users",AA7*AB7*AC7,AD7)*AE7</f>
        <v/>
      </c>
      <c r="G7" s="2">
        <f>AJ7*AK7</f>
        <v/>
      </c>
      <c r="H7" s="2" t="n">
        <v>0.02</v>
      </c>
      <c r="I7" s="2" t="n">
        <v>3000</v>
      </c>
      <c r="J7" s="2" t="n">
        <v>750</v>
      </c>
      <c r="K7" s="2" t="n">
        <v>0</v>
      </c>
      <c r="L7" s="2" t="n">
        <v>0</v>
      </c>
      <c r="M7" s="2" t="n">
        <v>4</v>
      </c>
      <c r="N7" s="2" t="n">
        <v>10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b86c712c-2797-41fe-8c60-6adc8906645c</t>
        </is>
      </c>
      <c r="AM7" t="inlineStr"/>
    </row>
  </sheetData>
  <autoFilter ref="A1:A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>
        <is>
          <t>4ed859fb-772f-4a6c-b230-cb202ff6e9a3</t>
        </is>
      </c>
      <c r="P2" t="inlineStr">
        <is>
          <t>Business use case pending description</t>
        </is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/>
      <c r="P3" t="inlineStr"/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4ed859fb-772f-4a6c-b230-cb202ff6e9a3</t>
        </is>
      </c>
      <c r="B2" t="inlineStr">
        <is>
          <t>Imported daily</t>
        </is>
      </c>
      <c r="C2" t="inlineStr">
        <is>
          <t>4ed859fb-772f-4a6c-b230-cb202ff6e9a3</t>
        </is>
      </c>
      <c r="D2" t="inlineStr">
        <is>
          <t>Imported daily</t>
        </is>
      </c>
      <c r="E2" t="inlineStr">
        <is>
          <t>Business use case pending description</t>
        </is>
      </c>
    </row>
    <row r="3">
      <c r="A3" t="inlineStr">
        <is>
          <t>bdffc81d-d8e9-4cd8-a2fe-7ee75d20e0b1</t>
        </is>
      </c>
      <c r="B3" t="inlineStr">
        <is>
          <t>Another simple group</t>
        </is>
      </c>
      <c r="C3" t="inlineStr">
        <is>
          <t>4391274f-50b8-4871-a6ec-84476c6a6895</t>
        </is>
      </c>
      <c r="D3" t="inlineStr">
        <is>
          <t>Another simple group</t>
        </is>
      </c>
      <c r="E3" t="inlineStr">
        <is>
          <t>Business use case pending description</t>
        </is>
      </c>
    </row>
    <row r="4">
      <c r="A4" t="inlineStr">
        <is>
          <t>bdffc81d-d8e9-4cd8-a2fe-7ee75d20e0b1</t>
        </is>
      </c>
      <c r="B4" t="inlineStr">
        <is>
          <t>Another simple group</t>
        </is>
      </c>
      <c r="C4" t="inlineStr">
        <is>
          <t>f8932768-fc53-4680-b1ae-ed8396e557d7</t>
        </is>
      </c>
      <c r="D4" t="inlineStr">
        <is>
          <t>Another simple group 2</t>
        </is>
      </c>
      <c r="E4" t="inlineStr">
        <is>
          <t>Business use case pending description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4ed859fb-772f-4a6c-b230-cb202ff6e9a3</t>
        </is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bdffc81d-d8e9-4cd8-a2fe-7ee75d20e0b1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240</v>
      </c>
      <c r="F2" s="2" t="n">
        <v>0</v>
      </c>
      <c r="G2" s="2" t="n">
        <v>60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240</v>
      </c>
      <c r="F3" s="2" t="n">
        <v>0</v>
      </c>
      <c r="G3" s="2" t="n">
        <v>60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240</v>
      </c>
      <c r="F4" s="2" t="n">
        <v>0</v>
      </c>
      <c r="G4" s="2" t="n">
        <v>60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Imported daily</t>
        </is>
      </c>
      <c r="C2" t="inlineStr">
        <is>
          <t>Imported daily</t>
        </is>
      </c>
      <c r="D2" s="2" t="n">
        <v>180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Another simple group</t>
        </is>
      </c>
      <c r="C3" t="inlineStr">
        <is>
          <t>Another simple group</t>
        </is>
      </c>
      <c r="D3" s="2" t="n">
        <v>60</v>
      </c>
      <c r="E3" s="2" t="n">
        <v>0.009945000000000001</v>
      </c>
      <c r="F3" s="2" t="n">
        <v>0</v>
      </c>
      <c r="G3" s="2" t="n">
        <v>0.009945000000000001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Imported daily</t>
        </is>
      </c>
      <c r="C4" t="inlineStr">
        <is>
          <t>Imported daily</t>
        </is>
      </c>
      <c r="D4" s="2" t="n">
        <v>180</v>
      </c>
      <c r="E4" s="2" t="n">
        <v>0.008160000000000001</v>
      </c>
      <c r="F4" s="2" t="n">
        <v>0</v>
      </c>
      <c r="G4" s="2" t="n">
        <v>0.008160000000000001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Another simple group</t>
        </is>
      </c>
      <c r="C5" t="inlineStr">
        <is>
          <t>Another simple group</t>
        </is>
      </c>
      <c r="D5" s="2" t="n">
        <v>60</v>
      </c>
      <c r="E5" s="2" t="n">
        <v>0.01326</v>
      </c>
      <c r="F5" s="2" t="n">
        <v>0</v>
      </c>
      <c r="G5" s="2" t="n">
        <v>0.01326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Imported daily</t>
        </is>
      </c>
      <c r="C6" t="inlineStr">
        <is>
          <t>Imported daily</t>
        </is>
      </c>
      <c r="D6" s="2" t="n">
        <v>180</v>
      </c>
      <c r="E6" s="2" t="n">
        <v>0.01224</v>
      </c>
      <c r="F6" s="2" t="n">
        <v>0</v>
      </c>
      <c r="G6" s="2" t="n">
        <v>0.01224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Another simple group</t>
        </is>
      </c>
      <c r="C7" t="inlineStr">
        <is>
          <t>Another simple group</t>
        </is>
      </c>
      <c r="D7" s="2" t="n">
        <v>60</v>
      </c>
      <c r="E7" s="2" t="n">
        <v>0.01989</v>
      </c>
      <c r="F7" s="2" t="n">
        <v>0</v>
      </c>
      <c r="G7" s="2" t="n">
        <v>0.01989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SUMIFS(Calculations!R2:R7,Calculations!A2:A7,"Expected",Calculations!AF2:AF7,A2)</f>
        <v/>
      </c>
      <c r="C2" s="2">
        <f>SUMIFS(Calculations!S2:S7,Calculations!A2:A7,"Expected",Calculations!AF2:AF7,A2)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SUMIFS(Calculations!R2:R7,Calculations!A2:A7,"Expected",Calculations!AF2:AF7,A3)</f>
        <v/>
      </c>
      <c r="C3" s="2">
        <f>SUMIFS(Calculations!S2:S7,Calculations!A2:A7,"Expected",Calculations!AF2:AF7,A3)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SUMIFS(Calculations!R2:R7,Calculations!A2:A7,"Expected",Calculations!AF2:AF7,A4)</f>
        <v/>
      </c>
      <c r="C4" s="2">
        <f>SUMIFS(Calculations!S2:S7,Calculations!A2:A7,"Expected",Calculations!AF2:AF7,A4)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SUMIFS(Calculations!AG2:AG7,Calculations!A2:A7,"Expected",Calculations!AF2:AF7,A2)</f>
        <v/>
      </c>
      <c r="D2" s="2">
        <f>SUMIFS(Calculations!T2:T7,Calculations!A2:A7,"Expected",Calculations!AF2:AF7,A2)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SUMIFS(Calculations!AH2:AH7,Calculations!A2:A7,"Expected",Calculations!AF2:AF7,A3)</f>
        <v/>
      </c>
      <c r="D3" s="2">
        <f>SUMIFS(Calculations!V2:V7,Calculations!A2:A7,"Expected",Calculations!AF2:AF7,A3)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SUMIFS(Calculations!AI2:AI7,Calculations!A2:A7,"Expected",Calculations!AF2:AF7,A4)</f>
        <v/>
      </c>
      <c r="D4" s="2">
        <f>SUMIFS(Calculations!W2:W7,Calculations!A2:A7,"Expected",Calculations!AF2:AF7,A4)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SUMIFS(Calculations!S2:S7,Calculations!A2:A7,"Expected",Calculations!AF2:AF7,A5)</f>
        <v/>
      </c>
      <c r="D5" s="2">
        <f>SUMIFS(Calculations!U2:U7,Calculations!A2:A7,"Expected",Calculations!AF2:AF7,A5)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SUMIFS(Calculations!AG2:AG7,Calculations!A2:A7,"Expected",Calculations!AF2:AF7,A7)</f>
        <v/>
      </c>
      <c r="D7" s="2">
        <f>SUMIFS(Calculations!T2:T7,Calculations!A2:A7,"Expected",Calculations!AF2:AF7,A7)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SUMIFS(Calculations!AH2:AH7,Calculations!A2:A7,"Expected",Calculations!AF2:AF7,A8)</f>
        <v/>
      </c>
      <c r="D8" s="2">
        <f>SUMIFS(Calculations!V2:V7,Calculations!A2:A7,"Expected",Calculations!AF2:AF7,A8)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SUMIFS(Calculations!AI2:AI7,Calculations!A2:A7,"Expected",Calculations!AF2:AF7,A9)</f>
        <v/>
      </c>
      <c r="D9" s="2">
        <f>SUMIFS(Calculations!W2:W7,Calculations!A2:A7,"Expected",Calculations!AF2:AF7,A9)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SUMIFS(Calculations!S2:S7,Calculations!A2:A7,"Expected",Calculations!AF2:AF7,A10)</f>
        <v/>
      </c>
      <c r="D10" s="2">
        <f>SUMIFS(Calculations!U2:U7,Calculations!A2:A7,"Expected",Calculations!AF2:AF7,A10)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SUMIFS(Calculations!AG2:AG7,Calculations!A2:A7,"Expected",Calculations!AF2:AF7,A12)</f>
        <v/>
      </c>
      <c r="D12" s="2">
        <f>SUMIFS(Calculations!T2:T7,Calculations!A2:A7,"Expected",Calculations!AF2:AF7,A12)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SUMIFS(Calculations!AH2:AH7,Calculations!A2:A7,"Expected",Calculations!AF2:AF7,A13)</f>
        <v/>
      </c>
      <c r="D13" s="2">
        <f>SUMIFS(Calculations!V2:V7,Calculations!A2:A7,"Expected",Calculations!AF2:AF7,A13)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SUMIFS(Calculations!AI2:AI7,Calculations!A2:A7,"Expected",Calculations!AF2:AF7,A14)</f>
        <v/>
      </c>
      <c r="D14" s="2">
        <f>SUMIFS(Calculations!W2:W7,Calculations!A2:A7,"Expected",Calculations!AF2:AF7,A14)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SUMIFS(Calculations!S2:S7,Calculations!A2:A7,"Expected",Calculations!AF2:AF7,A15)</f>
        <v/>
      </c>
      <c r="D15" s="2">
        <f>SUMIFS(Calculations!U2:U7,Calculations!A2:A7,"Expected",Calculations!AF2:AF7,A15)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SUMIFS(Calculations!R2:R7,Calculations!A2:A7,A2)</f>
        <v/>
      </c>
      <c r="C2" s="2">
        <f>SUMIFS(Calculations!T2:T7,Calculations!A2:A7,A2)+SUMIFS(Calculations!V2:V7,Calculations!A2:A7,A2)+SUMIFS(Calculations!W2:W7,Calculations!A2:A7,A2)</f>
        <v/>
      </c>
      <c r="D2" s="2">
        <f>SUMIFS(Calculations!S2:S7,Calculations!A2:A7,A2)</f>
        <v/>
      </c>
      <c r="E2" s="2">
        <f>SUMIFS(Calculations!U2:U7,Calculations!A2:A7,A2)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SUMIFS(Calculations!R2:R7,Calculations!A2:A7,A3)</f>
        <v/>
      </c>
      <c r="C3" s="2">
        <f>SUMIFS(Calculations!T2:T7,Calculations!A2:A7,A3)+SUMIFS(Calculations!V2:V7,Calculations!A2:A7,A3)+SUMIFS(Calculations!W2:W7,Calculations!A2:A7,A3)</f>
        <v/>
      </c>
      <c r="D3" s="2">
        <f>SUMIFS(Calculations!S2:S7,Calculations!A2:A7,A3)</f>
        <v/>
      </c>
      <c r="E3" s="2">
        <f>SUMIFS(Calculations!U2:U7,Calculations!A2:A7,A3)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SUMIFS(Calculations!R2:R7,Calculations!A2:A7,A4)</f>
        <v/>
      </c>
      <c r="C4" s="2">
        <f>SUMIFS(Calculations!T2:T7,Calculations!A2:A7,A4)+SUMIFS(Calculations!V2:V7,Calculations!A2:A7,A4)+SUMIFS(Calculations!W2:W7,Calculations!A2:A7,A4)</f>
        <v/>
      </c>
      <c r="D4" s="2">
        <f>SUMIFS(Calculations!S2:S7,Calculations!A2:A7,A4)</f>
        <v/>
      </c>
      <c r="E4" s="2">
        <f>SUMIFS(Calculations!U2:U7,Calculations!A2:A7,A4)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2026-10-05T03:55:46.220Z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Custom</t>
        </is>
      </c>
      <c r="C3" s="2" t="n">
        <v>4</v>
      </c>
      <c r="D3" s="2" t="n">
        <v>10</v>
      </c>
      <c r="G3" t="inlineStr">
        <is>
          <t>Architect-supplied custom rates</t>
        </is>
      </c>
      <c r="H3" t="inlineStr">
        <is>
          <t>2026-10-05T03:55:52.453Z</t>
        </is>
      </c>
      <c r="I3" s="2" t="b">
        <v>1</v>
      </c>
      <c r="J3" t="inlineStr"/>
      <c r="K3" t="inlineStr"/>
      <c r="L3" t="inlineStr">
        <is>
          <t>custom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2026-10-05T03:55:53Z</dcterms:created>
  <dcterms:modified xsi:type="dcterms:W3CDTF">2026-10-05T03:55:53Z</dcterms:modified>
</cp:coreProperties>
</file>