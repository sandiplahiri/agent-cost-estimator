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'Calculations'!$A$1:$AM$16</definedName>
    <definedName name="_xlnm._FilterDatabase" localSheetId="2" hidden="1">'Agents'!$A$1:$P$5</definedName>
    <definedName name="_xlnm._FilterDatabase" localSheetId="3" hidden="1">'Agent identities'!$A$1:$E$5</definedName>
    <definedName name="_xlnm._FilterDatabase" localSheetId="4" hidden="1">'Volume'!$A$1:$L$5</definedName>
    <definedName name="_xlnm._FilterDatabase" localSheetId="5" hidden="1">'Agent links'!$A$1:$M$10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'Pricing'!$A$1:$R$4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SUM(Calculations!X2:X6)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SUM(Calculations!X7:X11)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SUM(Calculations!X12:X16)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Main step</t>
        </is>
      </c>
      <c r="D2" t="inlineStr">
        <is>
          <t>Fixture model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10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planner-step</t>
        </is>
      </c>
      <c r="AM2" t="inlineStr"/>
    </row>
    <row r="3">
      <c r="A3" t="inlineStr">
        <is>
          <t>Low</t>
        </is>
      </c>
      <c r="B3" t="inlineStr">
        <is>
          <t>Research</t>
        </is>
      </c>
      <c r="C3" t="inlineStr">
        <is>
          <t>Main step</t>
        </is>
      </c>
      <c r="D3" t="inlineStr">
        <is>
          <t>Fixture model</t>
        </is>
      </c>
      <c r="E3" s="2" t="n">
        <v>1</v>
      </c>
      <c r="F3" s="2" t="n">
        <v>450</v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research-step</t>
        </is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Main step</t>
        </is>
      </c>
      <c r="D4" t="inlineStr">
        <is>
          <t>Fixture model</t>
        </is>
      </c>
      <c r="E4" s="2" t="n">
        <v>1</v>
      </c>
      <c r="F4" s="2" t="n">
        <v>180</v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reviewer-step</t>
        </is>
      </c>
      <c r="AM4" t="inlineStr"/>
    </row>
    <row r="5">
      <c r="A5" t="inlineStr">
        <is>
          <t>Low</t>
        </is>
      </c>
      <c r="B5" t="inlineStr">
        <is>
          <t>Planner A tuned</t>
        </is>
      </c>
      <c r="C5" t="inlineStr">
        <is>
          <t>Main step</t>
        </is>
      </c>
      <c r="D5" t="inlineStr">
        <is>
          <t>Fixture model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750</v>
      </c>
      <c r="J5" s="2" t="n">
        <v>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10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8f359861-1118-4d74-b102-ac80cd1bb27f</t>
        </is>
      </c>
      <c r="AM5" t="inlineStr"/>
    </row>
    <row r="6">
      <c r="A6" t="inlineStr">
        <is>
          <t>Low</t>
        </is>
      </c>
      <c r="B6" t="inlineStr">
        <is>
          <t>Planner A tuned</t>
        </is>
      </c>
      <c r="C6" t="inlineStr">
        <is>
          <t>Review plan</t>
        </is>
      </c>
      <c r="D6" t="inlineStr">
        <is>
          <t>Fixture review model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750</v>
      </c>
      <c r="J6" s="2" t="n">
        <v>75</v>
      </c>
      <c r="K6" s="2" t="n">
        <v>0</v>
      </c>
      <c r="L6" s="2" t="n">
        <v>0</v>
      </c>
      <c r="M6" s="2" t="n">
        <v>1</v>
      </c>
      <c r="N6" s="2" t="n">
        <v>4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10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4122c0a4-46a8-4e6a-8c26-6b62c817a544</t>
        </is>
      </c>
      <c r="AM6" t="inlineStr"/>
    </row>
    <row r="7">
      <c r="A7" t="inlineStr">
        <is>
          <t>Expected</t>
        </is>
      </c>
      <c r="B7" t="inlineStr">
        <is>
          <t>Planner group</t>
        </is>
      </c>
      <c r="C7" t="inlineStr">
        <is>
          <t>Main step</t>
        </is>
      </c>
      <c r="D7" t="inlineStr">
        <is>
          <t>Fixture model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planner-step</t>
        </is>
      </c>
      <c r="AM7" t="inlineStr"/>
    </row>
    <row r="8">
      <c r="A8" t="inlineStr">
        <is>
          <t>Expected</t>
        </is>
      </c>
      <c r="B8" t="inlineStr">
        <is>
          <t>Research</t>
        </is>
      </c>
      <c r="C8" t="inlineStr">
        <is>
          <t>Main step</t>
        </is>
      </c>
      <c r="D8" t="inlineStr">
        <is>
          <t>Fixture model</t>
        </is>
      </c>
      <c r="E8" s="2" t="n">
        <v>1</v>
      </c>
      <c r="F8" s="2" t="n">
        <v>450</v>
      </c>
      <c r="G8" s="2">
        <f>AJ8*AK8</f>
        <v/>
      </c>
      <c r="H8" s="2" t="n">
        <v>0</v>
      </c>
      <c r="I8" s="2" t="n">
        <v>1000</v>
      </c>
      <c r="J8" s="2" t="n">
        <v>100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research-step</t>
        </is>
      </c>
      <c r="AM8" t="inlineStr"/>
    </row>
    <row r="9">
      <c r="A9" t="inlineStr">
        <is>
          <t>Expected</t>
        </is>
      </c>
      <c r="B9" t="inlineStr">
        <is>
          <t>Reviewer</t>
        </is>
      </c>
      <c r="C9" t="inlineStr">
        <is>
          <t>Main step</t>
        </is>
      </c>
      <c r="D9" t="inlineStr">
        <is>
          <t>Fixture model</t>
        </is>
      </c>
      <c r="E9" s="2" t="n">
        <v>1</v>
      </c>
      <c r="F9" s="2" t="n">
        <v>180</v>
      </c>
      <c r="G9" s="2">
        <f>AJ9*AK9</f>
        <v/>
      </c>
      <c r="H9" s="2" t="n">
        <v>0</v>
      </c>
      <c r="I9" s="2" t="n">
        <v>1000</v>
      </c>
      <c r="J9" s="2" t="n">
        <v>100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reviewer-step</t>
        </is>
      </c>
      <c r="AM9" t="inlineStr"/>
    </row>
    <row r="10">
      <c r="A10" t="inlineStr">
        <is>
          <t>Expected</t>
        </is>
      </c>
      <c r="B10" t="inlineStr">
        <is>
          <t>Planner A tuned</t>
        </is>
      </c>
      <c r="C10" t="inlineStr">
        <is>
          <t>Main step</t>
        </is>
      </c>
      <c r="D10" t="inlineStr">
        <is>
          <t>Fixture model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1000</v>
      </c>
      <c r="J10" s="2" t="n">
        <v>100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2</v>
      </c>
      <c r="AB10" s="2" t="n">
        <v>10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8f359861-1118-4d74-b102-ac80cd1bb27f</t>
        </is>
      </c>
      <c r="AM10" t="inlineStr"/>
    </row>
    <row r="11">
      <c r="A11" t="inlineStr">
        <is>
          <t>Expected</t>
        </is>
      </c>
      <c r="B11" t="inlineStr">
        <is>
          <t>Planner A tuned</t>
        </is>
      </c>
      <c r="C11" t="inlineStr">
        <is>
          <t>Review plan</t>
        </is>
      </c>
      <c r="D11" t="inlineStr">
        <is>
          <t>Fixture review model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1000</v>
      </c>
      <c r="J11" s="2" t="n">
        <v>100</v>
      </c>
      <c r="K11" s="2" t="n">
        <v>0</v>
      </c>
      <c r="L11" s="2" t="n">
        <v>0</v>
      </c>
      <c r="M11" s="2" t="n">
        <v>1</v>
      </c>
      <c r="N11" s="2" t="n">
        <v>4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2</v>
      </c>
      <c r="AB11" s="2" t="n">
        <v>10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L11" t="inlineStr">
        <is>
          <t>4122c0a4-46a8-4e6a-8c26-6b62c817a544</t>
        </is>
      </c>
      <c r="AM11" t="inlineStr"/>
    </row>
    <row r="12">
      <c r="A12" t="inlineStr">
        <is>
          <t>High</t>
        </is>
      </c>
      <c r="B12" t="inlineStr">
        <is>
          <t>Planner group</t>
        </is>
      </c>
      <c r="C12" t="inlineStr">
        <is>
          <t>Main step</t>
        </is>
      </c>
      <c r="D12" t="inlineStr">
        <is>
          <t>Fixture model</t>
        </is>
      </c>
      <c r="E12" s="2" t="n">
        <v>1</v>
      </c>
      <c r="F12" s="2">
        <f>IF(Z12="daily_users",AA12*AB12*AC12,AD12)*AE12</f>
        <v/>
      </c>
      <c r="G12" s="2">
        <f>AJ12*AK12</f>
        <v/>
      </c>
      <c r="H12" s="2" t="n">
        <v>0</v>
      </c>
      <c r="I12" s="2" t="n">
        <v>1500</v>
      </c>
      <c r="J12" s="2" t="n">
        <v>150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1</v>
      </c>
      <c r="AB12" s="2" t="n">
        <v>10</v>
      </c>
      <c r="AC12" s="2" t="n">
        <v>30</v>
      </c>
      <c r="AD12" s="2" t="n">
        <v>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planner-step</t>
        </is>
      </c>
      <c r="AM12" t="inlineStr"/>
    </row>
    <row r="13">
      <c r="A13" t="inlineStr">
        <is>
          <t>High</t>
        </is>
      </c>
      <c r="B13" t="inlineStr">
        <is>
          <t>Research</t>
        </is>
      </c>
      <c r="C13" t="inlineStr">
        <is>
          <t>Main step</t>
        </is>
      </c>
      <c r="D13" t="inlineStr">
        <is>
          <t>Fixture model</t>
        </is>
      </c>
      <c r="E13" s="2" t="n">
        <v>1</v>
      </c>
      <c r="F13" s="2" t="n">
        <v>450</v>
      </c>
      <c r="G13" s="2">
        <f>AJ13*AK13</f>
        <v/>
      </c>
      <c r="H13" s="2" t="n">
        <v>0</v>
      </c>
      <c r="I13" s="2" t="n">
        <v>1500</v>
      </c>
      <c r="J13" s="2" t="n">
        <v>150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0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research-step</t>
        </is>
      </c>
      <c r="AM13" t="inlineStr"/>
    </row>
    <row r="14">
      <c r="A14" t="inlineStr">
        <is>
          <t>High</t>
        </is>
      </c>
      <c r="B14" t="inlineStr">
        <is>
          <t>Reviewer</t>
        </is>
      </c>
      <c r="C14" t="inlineStr">
        <is>
          <t>Main step</t>
        </is>
      </c>
      <c r="D14" t="inlineStr">
        <is>
          <t>Fixture model</t>
        </is>
      </c>
      <c r="E14" s="2" t="n">
        <v>1</v>
      </c>
      <c r="F14" s="2" t="n">
        <v>180</v>
      </c>
      <c r="G14" s="2">
        <f>AJ14*AK14</f>
        <v/>
      </c>
      <c r="H14" s="2" t="n">
        <v>0</v>
      </c>
      <c r="I14" s="2" t="n">
        <v>1500</v>
      </c>
      <c r="J14" s="2" t="n">
        <v>150</v>
      </c>
      <c r="K14" s="2" t="n">
        <v>0</v>
      </c>
      <c r="L14" s="2" t="n">
        <v>0</v>
      </c>
      <c r="M14" s="2" t="n">
        <v>2</v>
      </c>
      <c r="N14" s="2" t="n">
        <v>8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derived</t>
        </is>
      </c>
      <c r="AA14" s="2" t="n">
        <v>0</v>
      </c>
      <c r="AB14" s="2" t="n">
        <v>0</v>
      </c>
      <c r="AC14" s="2" t="n">
        <v>30</v>
      </c>
      <c r="AD14" s="2" t="n">
        <v>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L14" t="inlineStr">
        <is>
          <t>reviewer-step</t>
        </is>
      </c>
      <c r="AM14" t="inlineStr"/>
    </row>
    <row r="15">
      <c r="A15" t="inlineStr">
        <is>
          <t>High</t>
        </is>
      </c>
      <c r="B15" t="inlineStr">
        <is>
          <t>Planner A tuned</t>
        </is>
      </c>
      <c r="C15" t="inlineStr">
        <is>
          <t>Main step</t>
        </is>
      </c>
      <c r="D15" t="inlineStr">
        <is>
          <t>Fixture model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150</v>
      </c>
      <c r="K15" s="2" t="n">
        <v>0</v>
      </c>
      <c r="L15" s="2" t="n">
        <v>0</v>
      </c>
      <c r="M15" s="2" t="n">
        <v>2</v>
      </c>
      <c r="N15" s="2" t="n">
        <v>8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daily_users</t>
        </is>
      </c>
      <c r="AA15" s="2" t="n">
        <v>2</v>
      </c>
      <c r="AB15" s="2" t="n">
        <v>10</v>
      </c>
      <c r="AC15" s="2" t="n">
        <v>30</v>
      </c>
      <c r="AD15" s="2" t="n">
        <v>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L15" t="inlineStr">
        <is>
          <t>8f359861-1118-4d74-b102-ac80cd1bb27f</t>
        </is>
      </c>
      <c r="AM15" t="inlineStr"/>
    </row>
    <row r="16">
      <c r="A16" t="inlineStr">
        <is>
          <t>High</t>
        </is>
      </c>
      <c r="B16" t="inlineStr">
        <is>
          <t>Planner A tuned</t>
        </is>
      </c>
      <c r="C16" t="inlineStr">
        <is>
          <t>Review plan</t>
        </is>
      </c>
      <c r="D16" t="inlineStr">
        <is>
          <t>Fixture review model</t>
        </is>
      </c>
      <c r="E16" s="2" t="n">
        <v>1</v>
      </c>
      <c r="F16" s="2">
        <f>IF(Z16="daily_users",AA16*AB16*AC16,AD16)*AE16</f>
        <v/>
      </c>
      <c r="G16" s="2">
        <f>AJ16*AK16</f>
        <v/>
      </c>
      <c r="H16" s="2" t="n">
        <v>0</v>
      </c>
      <c r="I16" s="2" t="n">
        <v>1500</v>
      </c>
      <c r="J16" s="2" t="n">
        <v>150</v>
      </c>
      <c r="K16" s="2" t="n">
        <v>0</v>
      </c>
      <c r="L16" s="2" t="n">
        <v>0</v>
      </c>
      <c r="M16" s="2" t="n">
        <v>1</v>
      </c>
      <c r="N16" s="2" t="n">
        <v>4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daily_users</t>
        </is>
      </c>
      <c r="AA16" s="2" t="n">
        <v>2</v>
      </c>
      <c r="AB16" s="2" t="n">
        <v>10</v>
      </c>
      <c r="AC16" s="2" t="n">
        <v>30</v>
      </c>
      <c r="AD16" s="2" t="n">
        <v>0</v>
      </c>
      <c r="AE16" s="2" t="n">
        <v>1</v>
      </c>
      <c r="AF16" t="inlineStr">
        <is>
          <t>medium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L16" t="inlineStr">
        <is>
          <t>4122c0a4-46a8-4e6a-8c26-6b62c817a544</t>
        </is>
      </c>
      <c r="AM16" t="inlineStr"/>
    </row>
  </sheetData>
  <autoFilter ref="A1:A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10</v>
      </c>
      <c r="O2" t="inlineStr">
        <is>
          <t>planner-2</t>
        </is>
      </c>
      <c r="P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research-1</t>
        </is>
      </c>
      <c r="P3" t="inlineStr">
        <is>
          <t>Research business use case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0</v>
      </c>
      <c r="O4" t="inlineStr">
        <is>
          <t>reviewer-1</t>
        </is>
      </c>
      <c r="P4" t="inlineStr">
        <is>
          <t>Reviewer business use case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s="2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2</v>
      </c>
      <c r="N5" s="2" t="n">
        <v>10</v>
      </c>
      <c r="O5" t="inlineStr">
        <is>
          <t>planner-1</t>
        </is>
      </c>
      <c r="P5" t="inlineStr">
        <is>
          <t>Plans complex requests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 group</t>
        </is>
      </c>
      <c r="C2" t="inlineStr">
        <is>
          <t>planner-2</t>
        </is>
      </c>
      <c r="D2" t="inlineStr">
        <is>
          <t>Planner B</t>
        </is>
      </c>
      <c r="E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Research</t>
        </is>
      </c>
      <c r="C3" t="inlineStr">
        <is>
          <t>research-1</t>
        </is>
      </c>
      <c r="D3" t="inlineStr">
        <is>
          <t>Research</t>
        </is>
      </c>
      <c r="E3" t="inlineStr">
        <is>
          <t>Research business use case</t>
        </is>
      </c>
    </row>
    <row r="4">
      <c r="A4" t="inlineStr">
        <is>
          <t>reviewer</t>
        </is>
      </c>
      <c r="B4" t="inlineStr">
        <is>
          <t>Reviewer</t>
        </is>
      </c>
      <c r="C4" t="inlineStr">
        <is>
          <t>reviewer-1</t>
        </is>
      </c>
      <c r="D4" t="inlineStr">
        <is>
          <t>Reviewer</t>
        </is>
      </c>
      <c r="E4" t="inlineStr">
        <is>
          <t>Reviewer business use case</t>
        </is>
      </c>
    </row>
    <row r="5">
      <c r="A5" t="inlineStr">
        <is>
          <t>094f9570-ff8d-4389-906a-87b1322f34bb</t>
        </is>
      </c>
      <c r="B5" t="inlineStr">
        <is>
          <t>Planner A tuned</t>
        </is>
      </c>
      <c r="C5" t="inlineStr">
        <is>
          <t>planner-1</t>
        </is>
      </c>
      <c r="D5" t="inlineStr">
        <is>
          <t>Planner A tuned</t>
        </is>
      </c>
      <c r="E5" t="inlineStr">
        <is>
          <t>Plans complex requests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10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450</v>
      </c>
      <c r="J3" s="2">
        <f>C3*I3</f>
        <v/>
      </c>
      <c r="K3" t="inlineStr">
        <is>
          <t>research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 t="n">
        <v>180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2</v>
      </c>
      <c r="F5" s="2" t="n">
        <v>10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094f9570-ff8d-4389-906a-87b1322f34bb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Research</t>
        </is>
      </c>
      <c r="D2" t="inlineStr"/>
      <c r="E2" s="2" t="n">
        <v>0.5</v>
      </c>
      <c r="F2" s="2" t="n">
        <v>1</v>
      </c>
      <c r="G2" s="2" t="n">
        <v>300</v>
      </c>
      <c r="H2" s="2">
        <f>E2*F2*G2*M2</f>
        <v/>
      </c>
      <c r="I2" t="inlineStr">
        <is>
          <t>Complete</t>
        </is>
      </c>
      <c r="J2" t="inlineStr">
        <is>
          <t>planner-research</t>
        </is>
      </c>
      <c r="K2" t="inlineStr">
        <is>
          <t>planner</t>
        </is>
      </c>
      <c r="L2" t="inlineStr">
        <is>
          <t>research</t>
        </is>
      </c>
      <c r="M2" s="2" t="n">
        <v>1</v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Reviewer</t>
        </is>
      </c>
      <c r="D3" t="inlineStr"/>
      <c r="E3" s="2" t="n">
        <v>0.4</v>
      </c>
      <c r="F3" s="2" t="n">
        <v>1</v>
      </c>
      <c r="G3" s="2" t="n">
        <v>450</v>
      </c>
      <c r="H3" s="2">
        <f>E3*F3*G3*M3</f>
        <v/>
      </c>
      <c r="I3" t="inlineStr">
        <is>
          <t>Complete</t>
        </is>
      </c>
      <c r="J3" t="inlineStr">
        <is>
          <t>research-reviewer</t>
        </is>
      </c>
      <c r="K3" t="inlineStr">
        <is>
          <t>research</t>
        </is>
      </c>
      <c r="L3" t="inlineStr">
        <is>
          <t>reviewer</t>
        </is>
      </c>
      <c r="M3" s="2" t="n">
        <v>1</v>
      </c>
    </row>
    <row r="4">
      <c r="A4" t="inlineStr">
        <is>
          <t>Low</t>
        </is>
      </c>
      <c r="B4" t="inlineStr">
        <is>
          <t>Planner A tuned</t>
        </is>
      </c>
      <c r="C4" t="inlineStr">
        <is>
          <t>Research</t>
        </is>
      </c>
      <c r="D4" t="inlineStr"/>
      <c r="E4" s="2" t="n">
        <v>0.5</v>
      </c>
      <c r="F4" s="2" t="n">
        <v>1</v>
      </c>
      <c r="G4" s="2" t="n">
        <v>600</v>
      </c>
      <c r="H4" s="2">
        <f>E4*F4*G4*M4</f>
        <v/>
      </c>
      <c r="I4" t="inlineStr">
        <is>
          <t>Complete</t>
        </is>
      </c>
      <c r="J4" t="inlineStr">
        <is>
          <t>6de339f2-afb8-41c4-9505-52633e903e88</t>
        </is>
      </c>
      <c r="K4" t="inlineStr">
        <is>
          <t>094f9570-ff8d-4389-906a-87b1322f34bb</t>
        </is>
      </c>
      <c r="L4" t="inlineStr">
        <is>
          <t>research</t>
        </is>
      </c>
      <c r="M4" s="2" t="n">
        <v>1</v>
      </c>
    </row>
    <row r="5">
      <c r="A5" t="inlineStr">
        <is>
          <t>Expected</t>
        </is>
      </c>
      <c r="B5" t="inlineStr">
        <is>
          <t>Planner group</t>
        </is>
      </c>
      <c r="C5" t="inlineStr">
        <is>
          <t>Research</t>
        </is>
      </c>
      <c r="D5" t="inlineStr"/>
      <c r="E5" s="2" t="n">
        <v>0.5</v>
      </c>
      <c r="F5" s="2" t="n">
        <v>1</v>
      </c>
      <c r="G5" s="2" t="n">
        <v>300</v>
      </c>
      <c r="H5" s="2">
        <f>E5*F5*G5*M5</f>
        <v/>
      </c>
      <c r="I5" t="inlineStr">
        <is>
          <t>Complete</t>
        </is>
      </c>
      <c r="J5" t="inlineStr">
        <is>
          <t>planner-research</t>
        </is>
      </c>
      <c r="K5" t="inlineStr">
        <is>
          <t>planner</t>
        </is>
      </c>
      <c r="L5" t="inlineStr">
        <is>
          <t>research</t>
        </is>
      </c>
      <c r="M5" s="2" t="n">
        <v>1</v>
      </c>
    </row>
    <row r="6">
      <c r="A6" t="inlineStr">
        <is>
          <t>Expected</t>
        </is>
      </c>
      <c r="B6" t="inlineStr">
        <is>
          <t>Research</t>
        </is>
      </c>
      <c r="C6" t="inlineStr">
        <is>
          <t>Reviewer</t>
        </is>
      </c>
      <c r="D6" t="inlineStr"/>
      <c r="E6" s="2" t="n">
        <v>0.4</v>
      </c>
      <c r="F6" s="2" t="n">
        <v>1</v>
      </c>
      <c r="G6" s="2" t="n">
        <v>450</v>
      </c>
      <c r="H6" s="2">
        <f>E6*F6*G6*M6</f>
        <v/>
      </c>
      <c r="I6" t="inlineStr">
        <is>
          <t>Complete</t>
        </is>
      </c>
      <c r="J6" t="inlineStr">
        <is>
          <t>research-reviewer</t>
        </is>
      </c>
      <c r="K6" t="inlineStr">
        <is>
          <t>research</t>
        </is>
      </c>
      <c r="L6" t="inlineStr">
        <is>
          <t>reviewer</t>
        </is>
      </c>
      <c r="M6" s="2" t="n">
        <v>1</v>
      </c>
    </row>
    <row r="7">
      <c r="A7" t="inlineStr">
        <is>
          <t>Expected</t>
        </is>
      </c>
      <c r="B7" t="inlineStr">
        <is>
          <t>Planner A tuned</t>
        </is>
      </c>
      <c r="C7" t="inlineStr">
        <is>
          <t>Research</t>
        </is>
      </c>
      <c r="D7" t="inlineStr"/>
      <c r="E7" s="2" t="n">
        <v>0.5</v>
      </c>
      <c r="F7" s="2" t="n">
        <v>1</v>
      </c>
      <c r="G7" s="2" t="n">
        <v>600</v>
      </c>
      <c r="H7" s="2">
        <f>E7*F7*G7*M7</f>
        <v/>
      </c>
      <c r="I7" t="inlineStr">
        <is>
          <t>Complete</t>
        </is>
      </c>
      <c r="J7" t="inlineStr">
        <is>
          <t>6de339f2-afb8-41c4-9505-52633e903e88</t>
        </is>
      </c>
      <c r="K7" t="inlineStr">
        <is>
          <t>094f9570-ff8d-4389-906a-87b1322f34bb</t>
        </is>
      </c>
      <c r="L7" t="inlineStr">
        <is>
          <t>research</t>
        </is>
      </c>
      <c r="M7" s="2" t="n">
        <v>1</v>
      </c>
    </row>
    <row r="8">
      <c r="A8" t="inlineStr">
        <is>
          <t>High</t>
        </is>
      </c>
      <c r="B8" t="inlineStr">
        <is>
          <t>Planner group</t>
        </is>
      </c>
      <c r="C8" t="inlineStr">
        <is>
          <t>Research</t>
        </is>
      </c>
      <c r="D8" t="inlineStr"/>
      <c r="E8" s="2" t="n">
        <v>0.5</v>
      </c>
      <c r="F8" s="2" t="n">
        <v>1</v>
      </c>
      <c r="G8" s="2" t="n">
        <v>300</v>
      </c>
      <c r="H8" s="2">
        <f>E8*F8*G8*M8</f>
        <v/>
      </c>
      <c r="I8" t="inlineStr">
        <is>
          <t>Complete</t>
        </is>
      </c>
      <c r="J8" t="inlineStr">
        <is>
          <t>planner-research</t>
        </is>
      </c>
      <c r="K8" t="inlineStr">
        <is>
          <t>planner</t>
        </is>
      </c>
      <c r="L8" t="inlineStr">
        <is>
          <t>research</t>
        </is>
      </c>
      <c r="M8" s="2" t="n">
        <v>1</v>
      </c>
    </row>
    <row r="9">
      <c r="A9" t="inlineStr">
        <is>
          <t>High</t>
        </is>
      </c>
      <c r="B9" t="inlineStr">
        <is>
          <t>Research</t>
        </is>
      </c>
      <c r="C9" t="inlineStr">
        <is>
          <t>Reviewer</t>
        </is>
      </c>
      <c r="D9" t="inlineStr"/>
      <c r="E9" s="2" t="n">
        <v>0.4</v>
      </c>
      <c r="F9" s="2" t="n">
        <v>1</v>
      </c>
      <c r="G9" s="2" t="n">
        <v>450</v>
      </c>
      <c r="H9" s="2">
        <f>E9*F9*G9*M9</f>
        <v/>
      </c>
      <c r="I9" t="inlineStr">
        <is>
          <t>Complete</t>
        </is>
      </c>
      <c r="J9" t="inlineStr">
        <is>
          <t>research-reviewer</t>
        </is>
      </c>
      <c r="K9" t="inlineStr">
        <is>
          <t>research</t>
        </is>
      </c>
      <c r="L9" t="inlineStr">
        <is>
          <t>reviewer</t>
        </is>
      </c>
      <c r="M9" s="2" t="n">
        <v>1</v>
      </c>
    </row>
    <row r="10">
      <c r="A10" t="inlineStr">
        <is>
          <t>High</t>
        </is>
      </c>
      <c r="B10" t="inlineStr">
        <is>
          <t>Planner A tuned</t>
        </is>
      </c>
      <c r="C10" t="inlineStr">
        <is>
          <t>Research</t>
        </is>
      </c>
      <c r="D10" t="inlineStr"/>
      <c r="E10" s="2" t="n">
        <v>0.5</v>
      </c>
      <c r="F10" s="2" t="n">
        <v>1</v>
      </c>
      <c r="G10" s="2" t="n">
        <v>600</v>
      </c>
      <c r="H10" s="2">
        <f>E10*F10*G10*M10</f>
        <v/>
      </c>
      <c r="I10" t="inlineStr">
        <is>
          <t>Complete</t>
        </is>
      </c>
      <c r="J10" t="inlineStr">
        <is>
          <t>6de339f2-afb8-41c4-9505-52633e903e88</t>
        </is>
      </c>
      <c r="K10" t="inlineStr">
        <is>
          <t>094f9570-ff8d-4389-906a-87b1322f34bb</t>
        </is>
      </c>
      <c r="L10" t="inlineStr">
        <is>
          <t>research</t>
        </is>
      </c>
      <c r="M10" s="2" t="n">
        <v>1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1530</v>
      </c>
      <c r="F2" s="2" t="n">
        <v>0</v>
      </c>
      <c r="G2" s="2" t="n">
        <v>2130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1530</v>
      </c>
      <c r="F3" s="2" t="n">
        <v>0</v>
      </c>
      <c r="G3" s="2" t="n">
        <v>2130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1530</v>
      </c>
      <c r="F4" s="2" t="n">
        <v>0</v>
      </c>
      <c r="G4" s="2" t="n">
        <v>2130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Planner group</t>
        </is>
      </c>
      <c r="D2" s="2" t="n">
        <v>300</v>
      </c>
      <c r="E2" s="2" t="n">
        <v>0.0021</v>
      </c>
      <c r="F2" s="2" t="n">
        <v>0</v>
      </c>
      <c r="G2" s="2" t="n">
        <v>0.00357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Research</t>
        </is>
      </c>
      <c r="D3" s="2" t="n">
        <v>450</v>
      </c>
      <c r="E3" s="2" t="n">
        <v>0.0021</v>
      </c>
      <c r="F3" s="2" t="n">
        <v>0</v>
      </c>
      <c r="G3" s="2" t="n">
        <v>0.00294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180</v>
      </c>
      <c r="E4" s="2" t="n">
        <v>0.0021</v>
      </c>
      <c r="F4" s="2" t="n">
        <v>0</v>
      </c>
      <c r="G4" s="2" t="n">
        <v>0.0021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Planner A tuned</t>
        </is>
      </c>
      <c r="C5" t="inlineStr">
        <is>
          <t>Plan support response</t>
        </is>
      </c>
      <c r="D5" s="2" t="n">
        <v>600</v>
      </c>
      <c r="E5" s="2" t="n">
        <v>0.00315</v>
      </c>
      <c r="F5" s="2" t="n">
        <v>0</v>
      </c>
      <c r="G5" s="2" t="n">
        <v>0.00462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Planner group</t>
        </is>
      </c>
      <c r="C6" t="inlineStr">
        <is>
          <t>Planner group</t>
        </is>
      </c>
      <c r="D6" s="2" t="n">
        <v>300</v>
      </c>
      <c r="E6" s="2" t="n">
        <v>0.0028</v>
      </c>
      <c r="F6" s="2" t="n">
        <v>0</v>
      </c>
      <c r="G6" s="2" t="n">
        <v>0.00476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Research</t>
        </is>
      </c>
      <c r="C7" t="inlineStr">
        <is>
          <t>Research</t>
        </is>
      </c>
      <c r="D7" s="2" t="n">
        <v>450</v>
      </c>
      <c r="E7" s="2" t="n">
        <v>0.0028</v>
      </c>
      <c r="F7" s="2" t="n">
        <v>0</v>
      </c>
      <c r="G7" s="2" t="n">
        <v>0.00392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Reviewer</t>
        </is>
      </c>
      <c r="C8" t="inlineStr">
        <is>
          <t>Reviewer</t>
        </is>
      </c>
      <c r="D8" s="2" t="n">
        <v>180</v>
      </c>
      <c r="E8" s="2" t="n">
        <v>0.0028</v>
      </c>
      <c r="F8" s="2" t="n">
        <v>0</v>
      </c>
      <c r="G8" s="2" t="n">
        <v>0.0028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Planner A tuned</t>
        </is>
      </c>
      <c r="C9" t="inlineStr">
        <is>
          <t>Plan support response</t>
        </is>
      </c>
      <c r="D9" s="2" t="n">
        <v>600</v>
      </c>
      <c r="E9" s="2" t="n">
        <v>0.0042</v>
      </c>
      <c r="F9" s="2" t="n">
        <v>0</v>
      </c>
      <c r="G9" s="2" t="n">
        <v>0.00616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Planner group</t>
        </is>
      </c>
      <c r="C10" t="inlineStr">
        <is>
          <t>Planner group</t>
        </is>
      </c>
      <c r="D10" s="2" t="n">
        <v>300</v>
      </c>
      <c r="E10" s="2" t="n">
        <v>0.0042</v>
      </c>
      <c r="F10" s="2" t="n">
        <v>0</v>
      </c>
      <c r="G10" s="2" t="n">
        <v>0.00714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Research</t>
        </is>
      </c>
      <c r="C11" t="inlineStr">
        <is>
          <t>Research</t>
        </is>
      </c>
      <c r="D11" s="2" t="n">
        <v>450</v>
      </c>
      <c r="E11" s="2" t="n">
        <v>0.0042</v>
      </c>
      <c r="F11" s="2" t="n">
        <v>0</v>
      </c>
      <c r="G11" s="2" t="n">
        <v>0.00588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Reviewer</t>
        </is>
      </c>
      <c r="C12" t="inlineStr">
        <is>
          <t>Reviewer</t>
        </is>
      </c>
      <c r="D12" s="2" t="n">
        <v>180</v>
      </c>
      <c r="E12" s="2" t="n">
        <v>0.0042</v>
      </c>
      <c r="F12" s="2" t="n">
        <v>0</v>
      </c>
      <c r="G12" s="2" t="n">
        <v>0.0042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Planner A tuned</t>
        </is>
      </c>
      <c r="C13" t="inlineStr">
        <is>
          <t>Plan support response</t>
        </is>
      </c>
      <c r="D13" s="2" t="n">
        <v>600</v>
      </c>
      <c r="E13" s="2" t="n">
        <v>0.0063</v>
      </c>
      <c r="F13" s="2" t="n">
        <v>0</v>
      </c>
      <c r="G13" s="2" t="n">
        <v>0.00924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SUMIFS(Calculations!R2:R16,Calculations!A2:A16,"Expected",Calculations!AF2:AF16,A2)</f>
        <v/>
      </c>
      <c r="C2" s="2">
        <f>SUMIFS(Calculations!S2:S16,Calculations!A2:A16,"Expected",Calculations!AF2:AF16,A2)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SUMIFS(Calculations!R2:R16,Calculations!A2:A16,"Expected",Calculations!AF2:AF16,A3)</f>
        <v/>
      </c>
      <c r="C3" s="2">
        <f>SUMIFS(Calculations!S2:S16,Calculations!A2:A16,"Expected",Calculations!AF2:AF16,A3)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SUMIFS(Calculations!R2:R16,Calculations!A2:A16,"Expected",Calculations!AF2:AF16,A4)</f>
        <v/>
      </c>
      <c r="C4" s="2">
        <f>SUMIFS(Calculations!S2:S16,Calculations!A2:A16,"Expected",Calculations!AF2:AF16,A4)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SUMIFS(Calculations!AG2:AG16,Calculations!A2:A16,"Expected",Calculations!AF2:AF16,A2)</f>
        <v/>
      </c>
      <c r="D2" s="2">
        <f>SUMIFS(Calculations!T2:T16,Calculations!A2:A16,"Expected",Calculations!AF2:AF16,A2)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SUMIFS(Calculations!AH2:AH16,Calculations!A2:A16,"Expected",Calculations!AF2:AF16,A3)</f>
        <v/>
      </c>
      <c r="D3" s="2">
        <f>SUMIFS(Calculations!V2:V16,Calculations!A2:A16,"Expected",Calculations!AF2:AF16,A3)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SUMIFS(Calculations!AI2:AI16,Calculations!A2:A16,"Expected",Calculations!AF2:AF16,A4)</f>
        <v/>
      </c>
      <c r="D4" s="2">
        <f>SUMIFS(Calculations!W2:W16,Calculations!A2:A16,"Expected",Calculations!AF2:AF16,A4)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SUMIFS(Calculations!S2:S16,Calculations!A2:A16,"Expected",Calculations!AF2:AF16,A5)</f>
        <v/>
      </c>
      <c r="D5" s="2">
        <f>SUMIFS(Calculations!U2:U16,Calculations!A2:A16,"Expected",Calculations!AF2:AF16,A5)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SUMIFS(Calculations!AG2:AG16,Calculations!A2:A16,"Expected",Calculations!AF2:AF16,A7)</f>
        <v/>
      </c>
      <c r="D7" s="2">
        <f>SUMIFS(Calculations!T2:T16,Calculations!A2:A16,"Expected",Calculations!AF2:AF16,A7)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SUMIFS(Calculations!AH2:AH16,Calculations!A2:A16,"Expected",Calculations!AF2:AF16,A8)</f>
        <v/>
      </c>
      <c r="D8" s="2">
        <f>SUMIFS(Calculations!V2:V16,Calculations!A2:A16,"Expected",Calculations!AF2:AF16,A8)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SUMIFS(Calculations!AI2:AI16,Calculations!A2:A16,"Expected",Calculations!AF2:AF16,A9)</f>
        <v/>
      </c>
      <c r="D9" s="2">
        <f>SUMIFS(Calculations!W2:W16,Calculations!A2:A16,"Expected",Calculations!AF2:AF16,A9)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SUMIFS(Calculations!S2:S16,Calculations!A2:A16,"Expected",Calculations!AF2:AF16,A10)</f>
        <v/>
      </c>
      <c r="D10" s="2">
        <f>SUMIFS(Calculations!U2:U16,Calculations!A2:A16,"Expected",Calculations!AF2:AF16,A10)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SUMIFS(Calculations!AG2:AG16,Calculations!A2:A16,"Expected",Calculations!AF2:AF16,A12)</f>
        <v/>
      </c>
      <c r="D12" s="2">
        <f>SUMIFS(Calculations!T2:T16,Calculations!A2:A16,"Expected",Calculations!AF2:AF16,A12)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SUMIFS(Calculations!AH2:AH16,Calculations!A2:A16,"Expected",Calculations!AF2:AF16,A13)</f>
        <v/>
      </c>
      <c r="D13" s="2">
        <f>SUMIFS(Calculations!V2:V16,Calculations!A2:A16,"Expected",Calculations!AF2:AF16,A13)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SUMIFS(Calculations!AI2:AI16,Calculations!A2:A16,"Expected",Calculations!AF2:AF16,A14)</f>
        <v/>
      </c>
      <c r="D14" s="2">
        <f>SUMIFS(Calculations!W2:W16,Calculations!A2:A16,"Expected",Calculations!AF2:AF16,A14)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SUMIFS(Calculations!S2:S16,Calculations!A2:A16,"Expected",Calculations!AF2:AF16,A15)</f>
        <v/>
      </c>
      <c r="D15" s="2">
        <f>SUMIFS(Calculations!U2:U16,Calculations!A2:A16,"Expected",Calculations!AF2:AF16,A15)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SUMIFS(Calculations!R2:R16,Calculations!A2:A16,A2)</f>
        <v/>
      </c>
      <c r="C2" s="2">
        <f>SUMIFS(Calculations!T2:T16,Calculations!A2:A16,A2)+SUMIFS(Calculations!V2:V16,Calculations!A2:A16,A2)+SUMIFS(Calculations!W2:W16,Calculations!A2:A16,A2)</f>
        <v/>
      </c>
      <c r="D2" s="2">
        <f>SUMIFS(Calculations!S2:S16,Calculations!A2:A16,A2)</f>
        <v/>
      </c>
      <c r="E2" s="2">
        <f>SUMIFS(Calculations!U2:U16,Calculations!A2:A16,A2)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SUMIFS(Calculations!R2:R16,Calculations!A2:A16,A3)</f>
        <v/>
      </c>
      <c r="C3" s="2">
        <f>SUMIFS(Calculations!T2:T16,Calculations!A2:A16,A3)+SUMIFS(Calculations!V2:V16,Calculations!A2:A16,A3)+SUMIFS(Calculations!W2:W16,Calculations!A2:A16,A3)</f>
        <v/>
      </c>
      <c r="D3" s="2">
        <f>SUMIFS(Calculations!S2:S16,Calculations!A2:A16,A3)</f>
        <v/>
      </c>
      <c r="E3" s="2">
        <f>SUMIFS(Calculations!U2:U16,Calculations!A2:A16,A3)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SUMIFS(Calculations!R2:R16,Calculations!A2:A16,A4)</f>
        <v/>
      </c>
      <c r="C4" s="2">
        <f>SUMIFS(Calculations!T2:T16,Calculations!A2:A16,A4)+SUMIFS(Calculations!V2:V16,Calculations!A2:A16,A4)+SUMIFS(Calculations!W2:W16,Calculations!A2:A16,A4)</f>
        <v/>
      </c>
      <c r="D4" s="2">
        <f>SUMIFS(Calculations!S2:S16,Calculations!A2:A16,A4)</f>
        <v/>
      </c>
      <c r="E4" s="2">
        <f>SUMIFS(Calculations!U2:U16,Calculations!A2:A16,A4)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review model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Versioned E2E fixture</t>
        </is>
      </c>
      <c r="H3" t="inlineStr">
        <is>
          <t>2026-10-04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  <row r="4">
      <c r="A4" t="inlineStr">
        <is>
          <t>Fixture unpriced model</t>
        </is>
      </c>
      <c r="B4" t="inlineStr">
        <is>
          <t>Synthetic fixture</t>
        </is>
      </c>
      <c r="G4" t="inlineStr">
        <is>
          <t>Versioned E2E fixture</t>
        </is>
      </c>
      <c r="H4" t="inlineStr">
        <is>
          <t>2026-10-04</t>
        </is>
      </c>
      <c r="I4" s="2" t="b">
        <v>1</v>
      </c>
      <c r="J4" t="inlineStr"/>
      <c r="K4" t="inlineStr"/>
      <c r="L4" t="inlineStr">
        <is>
          <t>vendor_api</t>
        </is>
      </c>
      <c r="M4" t="inlineStr"/>
      <c r="N4" t="inlineStr"/>
      <c r="O4" t="inlineStr">
        <is>
          <t>USD</t>
        </is>
      </c>
      <c r="P4" s="2" t="n">
        <v>1</v>
      </c>
      <c r="Q4" t="inlineStr"/>
      <c r="R4" t="inlineStr"/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Inventory journey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2026-10-05T03:55:09Z</dcterms:created>
  <dcterms:modified xsi:type="dcterms:W3CDTF">2026-10-05T03:55:09Z</dcterms:modified>
</cp:coreProperties>
</file>