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Agent identities" sheetId="4" state="visible" r:id="rId4"/>
    <sheet name="Volume" sheetId="5" state="visible" r:id="rId5"/>
    <sheet name="Agent links" sheetId="6" state="visible" r:id="rId6"/>
    <sheet name="Tool costs" sheetId="7" state="visible" r:id="rId7"/>
    <sheet name="Harness" sheetId="8" state="visible" r:id="rId8"/>
    <sheet name="Use cases" sheetId="9" state="visible" r:id="rId9"/>
    <sheet name="Category totals" sheetId="10" state="visible" r:id="rId10"/>
    <sheet name="Category usage" sheetId="11" state="visible" r:id="rId11"/>
    <sheet name="Category costs" sheetId="12" state="visible" r:id="rId12"/>
    <sheet name="Monthly category summary" sheetId="13" state="visible" r:id="rId13"/>
    <sheet name="Profiles" sheetId="14" state="visible" r:id="rId14"/>
    <sheet name="Scenarios" sheetId="15" state="visible" r:id="rId15"/>
    <sheet name="Additional costs" sheetId="16" state="visible" r:id="rId16"/>
    <sheet name="Pricing" sheetId="17" state="visible" r:id="rId17"/>
    <sheet name="Read me" sheetId="18" state="visible" r:id="rId18"/>
  </sheets>
  <definedNames>
    <definedName name="_xlnm._FilterDatabase" localSheetId="0" hidden="1">'Summary'!$A$1:$J$4</definedName>
    <definedName name="_xlnm._FilterDatabase" localSheetId="1" hidden="1">'Calculations'!$A$1:$AM$13</definedName>
    <definedName name="_xlnm._FilterDatabase" localSheetId="2" hidden="1">'Agents'!$A$1:$P$5</definedName>
    <definedName name="_xlnm._FilterDatabase" localSheetId="3" hidden="1">'Agent identities'!$A$1:$E$6</definedName>
    <definedName name="_xlnm._FilterDatabase" localSheetId="4" hidden="1">'Volume'!$A$1:$L$5</definedName>
    <definedName name="_xlnm._FilterDatabase" localSheetId="5" hidden="1">'Agent links'!$A$1:$M$13</definedName>
    <definedName name="_xlnm._FilterDatabase" localSheetId="6" hidden="1">'Tool costs'!$A$1:$J$1</definedName>
    <definedName name="_xlnm._FilterDatabase" localSheetId="7" hidden="1">'Harness'!$A$1:$K$4</definedName>
    <definedName name="_xlnm._FilterDatabase" localSheetId="8" hidden="1">'Use cases'!$A$1:$I$13</definedName>
    <definedName name="_xlnm._FilterDatabase" localSheetId="9" hidden="1">'Category totals'!$A$1:$B$4</definedName>
    <definedName name="_xlnm._FilterDatabase" localSheetId="10" hidden="1">'Category usage'!$A$1:$F$4</definedName>
    <definedName name="_xlnm._FilterDatabase" localSheetId="11" hidden="1">'Category costs'!$A$1:$I$16</definedName>
    <definedName name="_xlnm._FilterDatabase" localSheetId="12" hidden="1">'Monthly category summary'!$A$1:$H$5</definedName>
    <definedName name="_xlnm._FilterDatabase" localSheetId="13" hidden="1">'Profiles'!$A$1:$G$4</definedName>
    <definedName name="_xlnm._FilterDatabase" localSheetId="14" hidden="1">'Scenarios'!$A$1:$G$4</definedName>
    <definedName name="_xlnm._FilterDatabase" localSheetId="15" hidden="1">'Additional costs'!$A$1:$A$1</definedName>
    <definedName name="_xlnm._FilterDatabase" localSheetId="16" hidden="1">'Pricing'!$A$1:$R$3</definedName>
    <definedName name="_xlnm._FilterDatabase" localSheetId="17" hidden="1">'Read me'!$A$1:$B$19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  <col width="19" customWidth="1" min="9" max="9"/>
    <col width="22" customWidth="1" min="10" max="10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  <c r="I1" s="1" t="inlineStr">
        <is>
          <t>Tool monthly USD</t>
        </is>
      </c>
      <c r="J1" s="1" t="inlineStr">
        <is>
          <t>Harness monthly USD</t>
        </is>
      </c>
    </row>
    <row r="2">
      <c r="A2" t="inlineStr">
        <is>
          <t>Low</t>
        </is>
      </c>
      <c r="B2" s="2">
        <f>SUM(Calculations!X2:X5)</f>
        <v/>
      </c>
      <c r="C2" s="2" t="n">
        <v>0</v>
      </c>
      <c r="D2" s="2">
        <f>B2+C2+I2+J2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  <c r="I2" s="2">
        <f>0</f>
        <v/>
      </c>
      <c r="J2" s="2">
        <f>Harness!I2</f>
        <v/>
      </c>
    </row>
    <row r="3">
      <c r="A3" t="inlineStr">
        <is>
          <t>Expected</t>
        </is>
      </c>
      <c r="B3" s="2">
        <f>SUM(Calculations!X6:X9)</f>
        <v/>
      </c>
      <c r="C3" s="2" t="n">
        <v>0</v>
      </c>
      <c r="D3" s="2">
        <f>B3+C3+I3+J3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  <c r="I3" s="2">
        <f>0</f>
        <v/>
      </c>
      <c r="J3" s="2">
        <f>Harness!I3</f>
        <v/>
      </c>
    </row>
    <row r="4">
      <c r="A4" t="inlineStr">
        <is>
          <t>High</t>
        </is>
      </c>
      <c r="B4" s="2">
        <f>SUM(Calculations!X10:X13)</f>
        <v/>
      </c>
      <c r="C4" s="2" t="n">
        <v>0</v>
      </c>
      <c r="D4" s="2">
        <f>B4+C4+I4+J4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  <c r="I4" s="2">
        <f>0</f>
        <v/>
      </c>
      <c r="J4" s="2">
        <f>Harness!I4</f>
        <v/>
      </c>
    </row>
  </sheetData>
  <autoFilter ref="A1:J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  <col width="38" customWidth="1" min="36" max="36"/>
    <col width="27" customWidth="1" min="37" max="37"/>
    <col width="16" customWidth="1" min="38" max="38"/>
    <col width="16" customWidth="1" min="39" max="39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  <c r="AJ1" s="1" t="inlineStr">
        <is>
          <t>Raw calls/occurrence after scenario</t>
        </is>
      </c>
      <c r="AK1" s="1" t="inlineStr">
        <is>
          <t>Step x model probability</t>
        </is>
      </c>
      <c r="AL1" s="1" t="inlineStr">
        <is>
          <t>Step ID</t>
        </is>
      </c>
      <c r="AM1" s="1" t="inlineStr">
        <is>
          <t>Model role</t>
        </is>
      </c>
    </row>
    <row r="2">
      <c r="A2" t="inlineStr">
        <is>
          <t>Low</t>
        </is>
      </c>
      <c r="B2" t="inlineStr">
        <is>
          <t>Planner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>
        <f>AJ2*AK2</f>
        <v/>
      </c>
      <c r="H2" s="2" t="n">
        <v>0</v>
      </c>
      <c r="I2" s="2" t="n">
        <v>750</v>
      </c>
      <c r="J2" s="2" t="n">
        <v>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10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  <c r="AJ2" s="2" t="n">
        <v>1</v>
      </c>
      <c r="AK2" s="2" t="n">
        <v>1</v>
      </c>
      <c r="AM2" t="inlineStr"/>
    </row>
    <row r="3">
      <c r="A3" t="inlineStr">
        <is>
          <t>Low</t>
        </is>
      </c>
      <c r="B3" t="inlineStr">
        <is>
          <t>Research group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 t="n">
        <v>120</v>
      </c>
      <c r="G3" s="2">
        <f>AJ3*AK3</f>
        <v/>
      </c>
      <c r="H3" s="2" t="n">
        <v>0</v>
      </c>
      <c r="I3" s="2" t="n">
        <v>750</v>
      </c>
      <c r="J3" s="2" t="n">
        <v>75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derived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  <c r="AJ3" s="2" t="n">
        <v>1</v>
      </c>
      <c r="AK3" s="2" t="n">
        <v>1</v>
      </c>
      <c r="AM3" t="inlineStr"/>
    </row>
    <row r="4">
      <c r="A4" t="inlineStr">
        <is>
          <t>Low</t>
        </is>
      </c>
      <c r="B4" t="inlineStr">
        <is>
          <t>Reviewer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 t="n">
        <v>96</v>
      </c>
      <c r="G4" s="2">
        <f>AJ4*AK4</f>
        <v/>
      </c>
      <c r="H4" s="2" t="n">
        <v>0</v>
      </c>
      <c r="I4" s="2" t="n">
        <v>750</v>
      </c>
      <c r="J4" s="2" t="n">
        <v>75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derived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  <c r="AJ4" s="2" t="n">
        <v>1</v>
      </c>
      <c r="AK4" s="2" t="n">
        <v>1</v>
      </c>
      <c r="AM4" t="inlineStr"/>
    </row>
    <row r="5">
      <c r="A5" t="inlineStr">
        <is>
          <t>Low</t>
        </is>
      </c>
      <c r="B5" t="inlineStr">
        <is>
          <t>Research tuned</t>
        </is>
      </c>
      <c r="C5" t="inlineStr">
        <is>
          <t>Aggregate</t>
        </is>
      </c>
      <c r="D5" t="inlineStr">
        <is>
          <t>Fixture B</t>
        </is>
      </c>
      <c r="E5" s="2" t="n">
        <v>1</v>
      </c>
      <c r="F5" s="2" t="n">
        <v>120</v>
      </c>
      <c r="G5" s="2">
        <f>AJ5*AK5</f>
        <v/>
      </c>
      <c r="H5" s="2" t="n">
        <v>0</v>
      </c>
      <c r="I5" s="2" t="n">
        <v>750</v>
      </c>
      <c r="J5" s="2" t="n">
        <v>187.5</v>
      </c>
      <c r="K5" s="2" t="n">
        <v>0</v>
      </c>
      <c r="L5" s="2" t="n">
        <v>0</v>
      </c>
      <c r="M5" s="2" t="n">
        <v>1</v>
      </c>
      <c r="N5" s="2" t="n">
        <v>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derived</t>
        </is>
      </c>
      <c r="AA5" s="2" t="n">
        <v>0</v>
      </c>
      <c r="AB5" s="2" t="n">
        <v>0</v>
      </c>
      <c r="AC5" s="2" t="n">
        <v>30</v>
      </c>
      <c r="AD5" s="2" t="n">
        <v>0</v>
      </c>
      <c r="AE5" s="2" t="n">
        <v>1</v>
      </c>
      <c r="AF5" t="inlineStr">
        <is>
          <t>medium</t>
        </is>
      </c>
      <c r="AG5" s="2">
        <f>R5*(1-K5-L5)</f>
        <v/>
      </c>
      <c r="AH5" s="2">
        <f>R5*K5</f>
        <v/>
      </c>
      <c r="AI5" s="2">
        <f>R5*L5</f>
        <v/>
      </c>
      <c r="AJ5" s="2" t="n">
        <v>1</v>
      </c>
      <c r="AK5" s="2" t="n">
        <v>1</v>
      </c>
      <c r="AM5" t="inlineStr"/>
    </row>
    <row r="6">
      <c r="A6" t="inlineStr">
        <is>
          <t>Expected</t>
        </is>
      </c>
      <c r="B6" t="inlineStr">
        <is>
          <t>Planner</t>
        </is>
      </c>
      <c r="C6" t="inlineStr">
        <is>
          <t>Aggregate</t>
        </is>
      </c>
      <c r="D6" t="inlineStr">
        <is>
          <t>Fixture A</t>
        </is>
      </c>
      <c r="E6" s="2" t="n">
        <v>2</v>
      </c>
      <c r="F6" s="2">
        <f>IF(Z6="daily_users",AA6*AB6*AC6,AD6)*AE6</f>
        <v/>
      </c>
      <c r="G6" s="2">
        <f>AJ6*AK6</f>
        <v/>
      </c>
      <c r="H6" s="2" t="n">
        <v>0</v>
      </c>
      <c r="I6" s="2" t="n">
        <v>1000</v>
      </c>
      <c r="J6" s="2" t="n">
        <v>100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10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  <c r="AJ6" s="2" t="n">
        <v>1</v>
      </c>
      <c r="AK6" s="2" t="n">
        <v>1</v>
      </c>
      <c r="AM6" t="inlineStr"/>
    </row>
    <row r="7">
      <c r="A7" t="inlineStr">
        <is>
          <t>Expected</t>
        </is>
      </c>
      <c r="B7" t="inlineStr">
        <is>
          <t>Research group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 t="n">
        <v>300</v>
      </c>
      <c r="G7" s="2">
        <f>AJ7*AK7</f>
        <v/>
      </c>
      <c r="H7" s="2" t="n">
        <v>0</v>
      </c>
      <c r="I7" s="2" t="n">
        <v>1000</v>
      </c>
      <c r="J7" s="2" t="n">
        <v>100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derived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  <c r="AJ7" s="2" t="n">
        <v>1</v>
      </c>
      <c r="AK7" s="2" t="n">
        <v>1</v>
      </c>
      <c r="AM7" t="inlineStr"/>
    </row>
    <row r="8">
      <c r="A8" t="inlineStr">
        <is>
          <t>Expected</t>
        </is>
      </c>
      <c r="B8" t="inlineStr">
        <is>
          <t>Reviewer</t>
        </is>
      </c>
      <c r="C8" t="inlineStr">
        <is>
          <t>Aggregate</t>
        </is>
      </c>
      <c r="D8" t="inlineStr">
        <is>
          <t>Fixture A</t>
        </is>
      </c>
      <c r="E8" s="2" t="n">
        <v>1</v>
      </c>
      <c r="F8" s="2" t="n">
        <v>240</v>
      </c>
      <c r="G8" s="2">
        <f>AJ8*AK8</f>
        <v/>
      </c>
      <c r="H8" s="2" t="n">
        <v>0</v>
      </c>
      <c r="I8" s="2" t="n">
        <v>1000</v>
      </c>
      <c r="J8" s="2" t="n">
        <v>100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derived</t>
        </is>
      </c>
      <c r="AA8" s="2" t="n">
        <v>0</v>
      </c>
      <c r="AB8" s="2" t="n">
        <v>0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  <c r="AJ8" s="2" t="n">
        <v>1</v>
      </c>
      <c r="AK8" s="2" t="n">
        <v>1</v>
      </c>
      <c r="AM8" t="inlineStr"/>
    </row>
    <row r="9">
      <c r="A9" t="inlineStr">
        <is>
          <t>Expected</t>
        </is>
      </c>
      <c r="B9" t="inlineStr">
        <is>
          <t>Research tuned</t>
        </is>
      </c>
      <c r="C9" t="inlineStr">
        <is>
          <t>Aggregate</t>
        </is>
      </c>
      <c r="D9" t="inlineStr">
        <is>
          <t>Fixture B</t>
        </is>
      </c>
      <c r="E9" s="2" t="n">
        <v>1</v>
      </c>
      <c r="F9" s="2" t="n">
        <v>300</v>
      </c>
      <c r="G9" s="2">
        <f>AJ9*AK9</f>
        <v/>
      </c>
      <c r="H9" s="2" t="n">
        <v>0</v>
      </c>
      <c r="I9" s="2" t="n">
        <v>1000</v>
      </c>
      <c r="J9" s="2" t="n">
        <v>250</v>
      </c>
      <c r="K9" s="2" t="n">
        <v>0</v>
      </c>
      <c r="L9" s="2" t="n">
        <v>0</v>
      </c>
      <c r="M9" s="2" t="n">
        <v>1</v>
      </c>
      <c r="N9" s="2" t="n">
        <v>4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derived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  <c r="AJ9" s="2" t="n">
        <v>1</v>
      </c>
      <c r="AK9" s="2" t="n">
        <v>1</v>
      </c>
      <c r="AM9" t="inlineStr"/>
    </row>
    <row r="10">
      <c r="A10" t="inlineStr">
        <is>
          <t>High</t>
        </is>
      </c>
      <c r="B10" t="inlineStr">
        <is>
          <t>Planner</t>
        </is>
      </c>
      <c r="C10" t="inlineStr">
        <is>
          <t>Aggregate</t>
        </is>
      </c>
      <c r="D10" t="inlineStr">
        <is>
          <t>Fixture A</t>
        </is>
      </c>
      <c r="E10" s="2" t="n">
        <v>2</v>
      </c>
      <c r="F10" s="2">
        <f>IF(Z10="daily_users",AA10*AB10*AC10,AD10)*AE10</f>
        <v/>
      </c>
      <c r="G10" s="2">
        <f>AJ10*AK10</f>
        <v/>
      </c>
      <c r="H10" s="2" t="n">
        <v>0</v>
      </c>
      <c r="I10" s="2" t="n">
        <v>1500</v>
      </c>
      <c r="J10" s="2" t="n">
        <v>150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1</v>
      </c>
      <c r="AB10" s="2" t="n">
        <v>10</v>
      </c>
      <c r="AC10" s="2" t="n">
        <v>30</v>
      </c>
      <c r="AD10" s="2" t="n">
        <v>0</v>
      </c>
      <c r="AE10" s="2" t="n">
        <v>1</v>
      </c>
      <c r="AF10" t="inlineStr">
        <is>
          <t>simple</t>
        </is>
      </c>
      <c r="AG10" s="2">
        <f>R10*(1-K10-L10)</f>
        <v/>
      </c>
      <c r="AH10" s="2">
        <f>R10*K10</f>
        <v/>
      </c>
      <c r="AI10" s="2">
        <f>R10*L10</f>
        <v/>
      </c>
      <c r="AJ10" s="2" t="n">
        <v>1</v>
      </c>
      <c r="AK10" s="2" t="n">
        <v>1</v>
      </c>
      <c r="AM10" t="inlineStr"/>
    </row>
    <row r="11">
      <c r="A11" t="inlineStr">
        <is>
          <t>High</t>
        </is>
      </c>
      <c r="B11" t="inlineStr">
        <is>
          <t>Research group</t>
        </is>
      </c>
      <c r="C11" t="inlineStr">
        <is>
          <t>Aggregate</t>
        </is>
      </c>
      <c r="D11" t="inlineStr">
        <is>
          <t>Fixture A</t>
        </is>
      </c>
      <c r="E11" s="2" t="n">
        <v>1</v>
      </c>
      <c r="F11" s="2" t="n">
        <v>600</v>
      </c>
      <c r="G11" s="2">
        <f>AJ11*AK11</f>
        <v/>
      </c>
      <c r="H11" s="2" t="n">
        <v>0</v>
      </c>
      <c r="I11" s="2" t="n">
        <v>1500</v>
      </c>
      <c r="J11" s="2" t="n">
        <v>150</v>
      </c>
      <c r="K11" s="2" t="n">
        <v>0</v>
      </c>
      <c r="L11" s="2" t="n">
        <v>0</v>
      </c>
      <c r="M11" s="2" t="n">
        <v>2</v>
      </c>
      <c r="N11" s="2" t="n">
        <v>8</v>
      </c>
      <c r="Q11" s="2">
        <f>E11*F11*G11*(1+H11)</f>
        <v/>
      </c>
      <c r="R11" s="2">
        <f>Q11*I11</f>
        <v/>
      </c>
      <c r="S11" s="2">
        <f>Q11*J11</f>
        <v/>
      </c>
      <c r="T11" s="2">
        <f>R11*(1-K11-L11)*M11/1000000</f>
        <v/>
      </c>
      <c r="U11" s="2">
        <f>S11*N11/1000000</f>
        <v/>
      </c>
      <c r="V11" s="2">
        <f>R11*K11*O11/1000000</f>
        <v/>
      </c>
      <c r="W11" s="2">
        <f>R11*L11*P11/1000000</f>
        <v/>
      </c>
      <c r="X11" s="2">
        <f>SUM(T11:W11)</f>
        <v/>
      </c>
      <c r="Y11" t="inlineStr">
        <is>
          <t>Complete</t>
        </is>
      </c>
      <c r="Z11" t="inlineStr">
        <is>
          <t>derived</t>
        </is>
      </c>
      <c r="AA11" s="2" t="n">
        <v>0</v>
      </c>
      <c r="AB11" s="2" t="n">
        <v>0</v>
      </c>
      <c r="AC11" s="2" t="n">
        <v>30</v>
      </c>
      <c r="AD11" s="2" t="n">
        <v>0</v>
      </c>
      <c r="AE11" s="2" t="n">
        <v>1</v>
      </c>
      <c r="AF11" t="inlineStr">
        <is>
          <t>simple</t>
        </is>
      </c>
      <c r="AG11" s="2">
        <f>R11*(1-K11-L11)</f>
        <v/>
      </c>
      <c r="AH11" s="2">
        <f>R11*K11</f>
        <v/>
      </c>
      <c r="AI11" s="2">
        <f>R11*L11</f>
        <v/>
      </c>
      <c r="AJ11" s="2" t="n">
        <v>1</v>
      </c>
      <c r="AK11" s="2" t="n">
        <v>1</v>
      </c>
      <c r="AM11" t="inlineStr"/>
    </row>
    <row r="12">
      <c r="A12" t="inlineStr">
        <is>
          <t>High</t>
        </is>
      </c>
      <c r="B12" t="inlineStr">
        <is>
          <t>Reviewer</t>
        </is>
      </c>
      <c r="C12" t="inlineStr">
        <is>
          <t>Aggregate</t>
        </is>
      </c>
      <c r="D12" t="inlineStr">
        <is>
          <t>Fixture A</t>
        </is>
      </c>
      <c r="E12" s="2" t="n">
        <v>1</v>
      </c>
      <c r="F12" s="2" t="n">
        <v>480</v>
      </c>
      <c r="G12" s="2">
        <f>AJ12*AK12</f>
        <v/>
      </c>
      <c r="H12" s="2" t="n">
        <v>0</v>
      </c>
      <c r="I12" s="2" t="n">
        <v>1500</v>
      </c>
      <c r="J12" s="2" t="n">
        <v>150</v>
      </c>
      <c r="K12" s="2" t="n">
        <v>0</v>
      </c>
      <c r="L12" s="2" t="n">
        <v>0</v>
      </c>
      <c r="M12" s="2" t="n">
        <v>2</v>
      </c>
      <c r="N12" s="2" t="n">
        <v>8</v>
      </c>
      <c r="Q12" s="2">
        <f>E12*F12*G12*(1+H12)</f>
        <v/>
      </c>
      <c r="R12" s="2">
        <f>Q12*I12</f>
        <v/>
      </c>
      <c r="S12" s="2">
        <f>Q12*J12</f>
        <v/>
      </c>
      <c r="T12" s="2">
        <f>R12*(1-K12-L12)*M12/1000000</f>
        <v/>
      </c>
      <c r="U12" s="2">
        <f>S12*N12/1000000</f>
        <v/>
      </c>
      <c r="V12" s="2">
        <f>R12*K12*O12/1000000</f>
        <v/>
      </c>
      <c r="W12" s="2">
        <f>R12*L12*P12/1000000</f>
        <v/>
      </c>
      <c r="X12" s="2">
        <f>SUM(T12:W12)</f>
        <v/>
      </c>
      <c r="Y12" t="inlineStr">
        <is>
          <t>Complete</t>
        </is>
      </c>
      <c r="Z12" t="inlineStr">
        <is>
          <t>derived</t>
        </is>
      </c>
      <c r="AA12" s="2" t="n">
        <v>0</v>
      </c>
      <c r="AB12" s="2" t="n">
        <v>0</v>
      </c>
      <c r="AC12" s="2" t="n">
        <v>30</v>
      </c>
      <c r="AD12" s="2" t="n">
        <v>0</v>
      </c>
      <c r="AE12" s="2" t="n">
        <v>1</v>
      </c>
      <c r="AF12" t="inlineStr">
        <is>
          <t>simple</t>
        </is>
      </c>
      <c r="AG12" s="2">
        <f>R12*(1-K12-L12)</f>
        <v/>
      </c>
      <c r="AH12" s="2">
        <f>R12*K12</f>
        <v/>
      </c>
      <c r="AI12" s="2">
        <f>R12*L12</f>
        <v/>
      </c>
      <c r="AJ12" s="2" t="n">
        <v>1</v>
      </c>
      <c r="AK12" s="2" t="n">
        <v>1</v>
      </c>
      <c r="AM12" t="inlineStr"/>
    </row>
    <row r="13">
      <c r="A13" t="inlineStr">
        <is>
          <t>High</t>
        </is>
      </c>
      <c r="B13" t="inlineStr">
        <is>
          <t>Research tuned</t>
        </is>
      </c>
      <c r="C13" t="inlineStr">
        <is>
          <t>Aggregate</t>
        </is>
      </c>
      <c r="D13" t="inlineStr">
        <is>
          <t>Fixture B</t>
        </is>
      </c>
      <c r="E13" s="2" t="n">
        <v>1</v>
      </c>
      <c r="F13" s="2" t="n">
        <v>600</v>
      </c>
      <c r="G13" s="2">
        <f>AJ13*AK13</f>
        <v/>
      </c>
      <c r="H13" s="2" t="n">
        <v>0</v>
      </c>
      <c r="I13" s="2" t="n">
        <v>1500</v>
      </c>
      <c r="J13" s="2" t="n">
        <v>375</v>
      </c>
      <c r="K13" s="2" t="n">
        <v>0</v>
      </c>
      <c r="L13" s="2" t="n">
        <v>0</v>
      </c>
      <c r="M13" s="2" t="n">
        <v>1</v>
      </c>
      <c r="N13" s="2" t="n">
        <v>4</v>
      </c>
      <c r="Q13" s="2">
        <f>E13*F13*G13*(1+H13)</f>
        <v/>
      </c>
      <c r="R13" s="2">
        <f>Q13*I13</f>
        <v/>
      </c>
      <c r="S13" s="2">
        <f>Q13*J13</f>
        <v/>
      </c>
      <c r="T13" s="2">
        <f>R13*(1-K13-L13)*M13/1000000</f>
        <v/>
      </c>
      <c r="U13" s="2">
        <f>S13*N13/1000000</f>
        <v/>
      </c>
      <c r="V13" s="2">
        <f>R13*K13*O13/1000000</f>
        <v/>
      </c>
      <c r="W13" s="2">
        <f>R13*L13*P13/1000000</f>
        <v/>
      </c>
      <c r="X13" s="2">
        <f>SUM(T13:W13)</f>
        <v/>
      </c>
      <c r="Y13" t="inlineStr">
        <is>
          <t>Complete</t>
        </is>
      </c>
      <c r="Z13" t="inlineStr">
        <is>
          <t>derived</t>
        </is>
      </c>
      <c r="AA13" s="2" t="n">
        <v>0</v>
      </c>
      <c r="AB13" s="2" t="n">
        <v>0</v>
      </c>
      <c r="AC13" s="2" t="n">
        <v>30</v>
      </c>
      <c r="AD13" s="2" t="n">
        <v>0</v>
      </c>
      <c r="AE13" s="2" t="n">
        <v>1</v>
      </c>
      <c r="AF13" t="inlineStr">
        <is>
          <t>medium</t>
        </is>
      </c>
      <c r="AG13" s="2">
        <f>R13*(1-K13-L13)</f>
        <v/>
      </c>
      <c r="AH13" s="2">
        <f>R13*K13</f>
        <v/>
      </c>
      <c r="AI13" s="2">
        <f>R13*L13</f>
        <v/>
      </c>
      <c r="AJ13" s="2" t="n">
        <v>1</v>
      </c>
      <c r="AK13" s="2" t="n">
        <v>1</v>
      </c>
      <c r="AM13" t="inlineStr"/>
    </row>
  </sheetData>
  <autoFilter ref="A1:AM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  <col width="16" customWidth="1" min="15" max="15"/>
    <col width="32" customWidth="1" min="16" max="16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  <c r="O1" s="1" t="inlineStr">
        <is>
          <t>agent_id</t>
        </is>
      </c>
      <c r="P1" s="1" t="inlineStr">
        <is>
          <t>business_use_case_description</t>
        </is>
      </c>
    </row>
    <row r="2">
      <c r="A2" t="inlineStr">
        <is>
          <t>Planner</t>
        </is>
      </c>
      <c r="B2" t="inlineStr">
        <is>
          <t>simple</t>
        </is>
      </c>
      <c r="C2" s="2" t="n">
        <v>2</v>
      </c>
      <c r="D2" s="2" t="n">
        <v>0</v>
      </c>
      <c r="E2" t="inlineStr">
        <is>
          <t>Fixture A</t>
        </is>
      </c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10</v>
      </c>
      <c r="O2" t="inlineStr"/>
      <c r="P2" t="inlineStr"/>
    </row>
    <row r="3">
      <c r="A3" t="inlineStr">
        <is>
          <t>Research group</t>
        </is>
      </c>
      <c r="B3" t="inlineStr">
        <is>
          <t>simple</t>
        </is>
      </c>
      <c r="C3" s="2" t="n">
        <v>1</v>
      </c>
      <c r="D3" s="2" t="n">
        <v>0</v>
      </c>
      <c r="E3" t="inlineStr">
        <is>
          <t>Fixture A</t>
        </is>
      </c>
      <c r="F3" t="inlineStr"/>
      <c r="G3" t="inlineStr"/>
      <c r="H3" t="inlineStr"/>
      <c r="I3" t="inlineStr"/>
      <c r="J3" t="inlineStr"/>
      <c r="K3" t="inlineStr"/>
      <c r="L3" t="inlineStr">
        <is>
          <t>derived</t>
        </is>
      </c>
      <c r="M3" s="2" t="n">
        <v>0</v>
      </c>
      <c r="N3" s="2" t="n">
        <v>0</v>
      </c>
      <c r="O3" t="inlineStr">
        <is>
          <t>3a14d3a5-0336-5eec-b787-79256f4f95b6</t>
        </is>
      </c>
      <c r="P3" t="inlineStr">
        <is>
          <t>Business use case pending description</t>
        </is>
      </c>
    </row>
    <row r="4">
      <c r="A4" t="inlineStr">
        <is>
          <t>Reviewer</t>
        </is>
      </c>
      <c r="B4" t="inlineStr">
        <is>
          <t>simple</t>
        </is>
      </c>
      <c r="C4" s="2" t="n">
        <v>1</v>
      </c>
      <c r="D4" s="2" t="n">
        <v>0</v>
      </c>
      <c r="E4" t="inlineStr">
        <is>
          <t>Fixture A</t>
        </is>
      </c>
      <c r="F4" t="inlineStr"/>
      <c r="G4" t="inlineStr"/>
      <c r="H4" t="inlineStr"/>
      <c r="I4" t="inlineStr"/>
      <c r="J4" t="inlineStr"/>
      <c r="K4" t="inlineStr"/>
      <c r="L4" t="inlineStr">
        <is>
          <t>derived</t>
        </is>
      </c>
      <c r="M4" s="2" t="n">
        <v>0</v>
      </c>
      <c r="N4" s="2" t="n">
        <v>0</v>
      </c>
      <c r="O4" t="inlineStr">
        <is>
          <t>reviewer</t>
        </is>
      </c>
      <c r="P4" t="inlineStr">
        <is>
          <t>Business use case pending description</t>
        </is>
      </c>
    </row>
    <row r="5">
      <c r="A5" t="inlineStr">
        <is>
          <t>Research tuned</t>
        </is>
      </c>
      <c r="B5" t="inlineStr">
        <is>
          <t>medium</t>
        </is>
      </c>
      <c r="C5" s="2" t="n">
        <v>1</v>
      </c>
      <c r="D5" s="2" t="n">
        <v>0</v>
      </c>
      <c r="E5" t="inlineStr">
        <is>
          <t>Fixture B</t>
        </is>
      </c>
      <c r="F5" t="inlineStr">
        <is>
          <t>1</t>
        </is>
      </c>
      <c r="G5" t="inlineStr">
        <is>
          <t>1000</t>
        </is>
      </c>
      <c r="H5" t="inlineStr">
        <is>
          <t>250</t>
        </is>
      </c>
      <c r="I5" t="inlineStr">
        <is>
          <t>0</t>
        </is>
      </c>
      <c r="J5" t="inlineStr">
        <is>
          <t>0</t>
        </is>
      </c>
      <c r="K5" t="inlineStr">
        <is>
          <t>0</t>
        </is>
      </c>
      <c r="L5" t="inlineStr">
        <is>
          <t>derived</t>
        </is>
      </c>
      <c r="M5" s="2" t="n">
        <v>0</v>
      </c>
      <c r="N5" s="2" t="n">
        <v>0</v>
      </c>
      <c r="O5" t="inlineStr">
        <is>
          <t>8e28c4a0-b143-5499-ba2f-8d51a9650259</t>
        </is>
      </c>
      <c r="P5" t="inlineStr">
        <is>
          <t>Business use case pending description</t>
        </is>
      </c>
    </row>
  </sheetData>
  <autoFilter ref="A1:P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32" customWidth="1" min="5" max="5"/>
  </cols>
  <sheetData>
    <row r="1" ht="32" customHeight="1">
      <c r="A1" s="1" t="inlineStr">
        <is>
          <t>Group ID</t>
        </is>
      </c>
      <c r="B1" s="1" t="inlineStr">
        <is>
          <t>Group name</t>
        </is>
      </c>
      <c r="C1" s="1" t="inlineStr">
        <is>
          <t>Agent ID</t>
        </is>
      </c>
      <c r="D1" s="1" t="inlineStr">
        <is>
          <t>Agent name</t>
        </is>
      </c>
      <c r="E1" s="1" t="inlineStr">
        <is>
          <t>Business use case description</t>
        </is>
      </c>
    </row>
    <row r="2">
      <c r="A2" t="inlineStr">
        <is>
          <t>planner</t>
        </is>
      </c>
      <c r="B2" t="inlineStr">
        <is>
          <t>Planner</t>
        </is>
      </c>
      <c r="C2" t="inlineStr">
        <is>
          <t>40f3094a-bca8-5844-bb5f-c805b55fdb82</t>
        </is>
      </c>
      <c r="D2" t="inlineStr">
        <is>
          <t>Planner 1</t>
        </is>
      </c>
      <c r="E2" t="inlineStr">
        <is>
          <t>Business use case pending description</t>
        </is>
      </c>
    </row>
    <row r="3">
      <c r="A3" t="inlineStr">
        <is>
          <t>planner</t>
        </is>
      </c>
      <c r="B3" t="inlineStr">
        <is>
          <t>Planner</t>
        </is>
      </c>
      <c r="C3" t="inlineStr">
        <is>
          <t>8eb391a9-dd07-5986-9dc3-cc3cda28e7d5</t>
        </is>
      </c>
      <c r="D3" t="inlineStr">
        <is>
          <t>Planner 2</t>
        </is>
      </c>
      <c r="E3" t="inlineStr">
        <is>
          <t>Business use case pending description</t>
        </is>
      </c>
    </row>
    <row r="4">
      <c r="A4" t="inlineStr">
        <is>
          <t>research</t>
        </is>
      </c>
      <c r="B4" t="inlineStr">
        <is>
          <t>Research group</t>
        </is>
      </c>
      <c r="C4" t="inlineStr">
        <is>
          <t>3a14d3a5-0336-5eec-b787-79256f4f95b6</t>
        </is>
      </c>
      <c r="D4" t="inlineStr">
        <is>
          <t>Research group 1</t>
        </is>
      </c>
      <c r="E4" t="inlineStr">
        <is>
          <t>Business use case pending description</t>
        </is>
      </c>
    </row>
    <row r="5">
      <c r="A5" t="inlineStr">
        <is>
          <t>reviewer</t>
        </is>
      </c>
      <c r="B5" t="inlineStr">
        <is>
          <t>Reviewer</t>
        </is>
      </c>
      <c r="C5" t="inlineStr">
        <is>
          <t>reviewer</t>
        </is>
      </c>
      <c r="D5" t="inlineStr">
        <is>
          <t>Reviewer</t>
        </is>
      </c>
      <c r="E5" t="inlineStr">
        <is>
          <t>Business use case pending description</t>
        </is>
      </c>
    </row>
    <row r="6">
      <c r="A6" t="inlineStr">
        <is>
          <t>9a30da2d-51e3-4595-8610-c3a3bcce101b</t>
        </is>
      </c>
      <c r="B6" t="inlineStr">
        <is>
          <t>Research tuned</t>
        </is>
      </c>
      <c r="C6" t="inlineStr">
        <is>
          <t>8e28c4a0-b143-5499-ba2f-8d51a9650259</t>
        </is>
      </c>
      <c r="D6" t="inlineStr">
        <is>
          <t>Research tuned</t>
        </is>
      </c>
      <c r="E6" t="inlineStr">
        <is>
          <t>Business use case pending description</t>
        </is>
      </c>
    </row>
  </sheetData>
  <autoFilter ref="A1:E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Planner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10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planner</t>
        </is>
      </c>
    </row>
    <row r="3">
      <c r="A3" t="inlineStr">
        <is>
          <t>Research group</t>
        </is>
      </c>
      <c r="B3" t="inlineStr">
        <is>
          <t>simple</t>
        </is>
      </c>
      <c r="C3" s="2" t="n">
        <v>1</v>
      </c>
      <c r="D3" t="inlineStr">
        <is>
          <t>derived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 t="n">
        <v>300</v>
      </c>
      <c r="J3" s="2">
        <f>C3*I3</f>
        <v/>
      </c>
      <c r="K3" t="inlineStr">
        <is>
          <t>research</t>
        </is>
      </c>
      <c r="L3" t="inlineStr">
        <is>
          <t>daily_users</t>
        </is>
      </c>
    </row>
    <row r="4">
      <c r="A4" t="inlineStr">
        <is>
          <t>Reviewer</t>
        </is>
      </c>
      <c r="B4" t="inlineStr">
        <is>
          <t>simple</t>
        </is>
      </c>
      <c r="C4" s="2" t="n">
        <v>1</v>
      </c>
      <c r="D4" t="inlineStr">
        <is>
          <t>derived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 t="n">
        <v>240</v>
      </c>
      <c r="J4" s="2">
        <f>C4*I4</f>
        <v/>
      </c>
      <c r="K4" t="inlineStr">
        <is>
          <t>reviewer</t>
        </is>
      </c>
      <c r="L4" t="inlineStr">
        <is>
          <t>daily_users</t>
        </is>
      </c>
    </row>
    <row r="5">
      <c r="A5" t="inlineStr">
        <is>
          <t>Research tuned</t>
        </is>
      </c>
      <c r="B5" t="inlineStr">
        <is>
          <t>medium</t>
        </is>
      </c>
      <c r="C5" s="2" t="n">
        <v>1</v>
      </c>
      <c r="D5" t="inlineStr">
        <is>
          <t>derived</t>
        </is>
      </c>
      <c r="E5" s="2" t="n">
        <v>0</v>
      </c>
      <c r="F5" s="2" t="n">
        <v>0</v>
      </c>
      <c r="G5" s="2" t="n">
        <v>30</v>
      </c>
      <c r="H5" s="2" t="n">
        <v>0</v>
      </c>
      <c r="I5" s="2" t="n">
        <v>300</v>
      </c>
      <c r="J5" s="2">
        <f>C5*I5</f>
        <v/>
      </c>
      <c r="K5" t="inlineStr">
        <is>
          <t>9a30da2d-51e3-4595-8610-c3a3bcce101b</t>
        </is>
      </c>
      <c r="L5" t="inlineStr">
        <is>
          <t>daily_users</t>
        </is>
      </c>
    </row>
  </sheetData>
  <autoFilter ref="A1:L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9" customWidth="1" min="13" max="13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  <c r="M1" s="1" t="inlineStr">
        <is>
          <t>Step execution probability</t>
        </is>
      </c>
    </row>
    <row r="2">
      <c r="A2" t="inlineStr">
        <is>
          <t>Low</t>
        </is>
      </c>
      <c r="B2" t="inlineStr">
        <is>
          <t>Planner</t>
        </is>
      </c>
      <c r="C2" t="inlineStr">
        <is>
          <t>Research group</t>
        </is>
      </c>
      <c r="D2" t="inlineStr"/>
      <c r="E2" s="2" t="n">
        <v>0.2</v>
      </c>
      <c r="F2" s="2" t="n">
        <v>1</v>
      </c>
      <c r="G2" s="2" t="n">
        <v>600</v>
      </c>
      <c r="H2" s="2">
        <f>E2*F2*G2*M2</f>
        <v/>
      </c>
      <c r="I2" t="inlineStr">
        <is>
          <t>Complete</t>
        </is>
      </c>
      <c r="J2" t="inlineStr">
        <is>
          <t>to-research</t>
        </is>
      </c>
      <c r="K2" t="inlineStr">
        <is>
          <t>planner</t>
        </is>
      </c>
      <c r="L2" t="inlineStr">
        <is>
          <t>research</t>
        </is>
      </c>
      <c r="M2" s="2" t="n">
        <v>1</v>
      </c>
    </row>
    <row r="3">
      <c r="A3" t="inlineStr">
        <is>
          <t>Low</t>
        </is>
      </c>
      <c r="B3" t="inlineStr">
        <is>
          <t>Research group</t>
        </is>
      </c>
      <c r="C3" t="inlineStr">
        <is>
          <t>Reviewer</t>
        </is>
      </c>
      <c r="D3" t="inlineStr"/>
      <c r="E3" s="2" t="n">
        <v>0.4</v>
      </c>
      <c r="F3" s="2" t="n">
        <v>1</v>
      </c>
      <c r="G3" s="2" t="n">
        <v>120</v>
      </c>
      <c r="H3" s="2">
        <f>E3*F3*G3*M3</f>
        <v/>
      </c>
      <c r="I3" t="inlineStr">
        <is>
          <t>Complete</t>
        </is>
      </c>
      <c r="J3" t="inlineStr">
        <is>
          <t>to-reviewer</t>
        </is>
      </c>
      <c r="K3" t="inlineStr">
        <is>
          <t>research</t>
        </is>
      </c>
      <c r="L3" t="inlineStr">
        <is>
          <t>reviewer</t>
        </is>
      </c>
      <c r="M3" s="2" t="n">
        <v>1</v>
      </c>
    </row>
    <row r="4">
      <c r="A4" t="inlineStr">
        <is>
          <t>Low</t>
        </is>
      </c>
      <c r="B4" t="inlineStr">
        <is>
          <t>Planner</t>
        </is>
      </c>
      <c r="C4" t="inlineStr">
        <is>
          <t>Research tuned</t>
        </is>
      </c>
      <c r="D4" t="inlineStr"/>
      <c r="E4" s="2" t="n">
        <v>0.2</v>
      </c>
      <c r="F4" s="2" t="n">
        <v>1</v>
      </c>
      <c r="G4" s="2" t="n">
        <v>600</v>
      </c>
      <c r="H4" s="2">
        <f>E4*F4*G4*M4</f>
        <v/>
      </c>
      <c r="I4" t="inlineStr">
        <is>
          <t>Complete</t>
        </is>
      </c>
      <c r="J4" t="inlineStr">
        <is>
          <t>61996a9a-0f5e-4954-8b69-faac04d8be05</t>
        </is>
      </c>
      <c r="K4" t="inlineStr">
        <is>
          <t>planner</t>
        </is>
      </c>
      <c r="L4" t="inlineStr">
        <is>
          <t>9a30da2d-51e3-4595-8610-c3a3bcce101b</t>
        </is>
      </c>
      <c r="M4" s="2" t="n">
        <v>1</v>
      </c>
    </row>
    <row r="5">
      <c r="A5" t="inlineStr">
        <is>
          <t>Low</t>
        </is>
      </c>
      <c r="B5" t="inlineStr">
        <is>
          <t>Research tuned</t>
        </is>
      </c>
      <c r="C5" t="inlineStr">
        <is>
          <t>Reviewer</t>
        </is>
      </c>
      <c r="D5" t="inlineStr"/>
      <c r="E5" s="2" t="n">
        <v>0.4</v>
      </c>
      <c r="F5" s="2" t="n">
        <v>1</v>
      </c>
      <c r="G5" s="2" t="n">
        <v>120</v>
      </c>
      <c r="H5" s="2">
        <f>E5*F5*G5*M5</f>
        <v/>
      </c>
      <c r="I5" t="inlineStr">
        <is>
          <t>Complete</t>
        </is>
      </c>
      <c r="J5" t="inlineStr">
        <is>
          <t>ef9ad5e2-11cc-48b8-bc67-1c2ef0ce96a1</t>
        </is>
      </c>
      <c r="K5" t="inlineStr">
        <is>
          <t>9a30da2d-51e3-4595-8610-c3a3bcce101b</t>
        </is>
      </c>
      <c r="L5" t="inlineStr">
        <is>
          <t>reviewer</t>
        </is>
      </c>
      <c r="M5" s="2" t="n">
        <v>1</v>
      </c>
    </row>
    <row r="6">
      <c r="A6" t="inlineStr">
        <is>
          <t>Expected</t>
        </is>
      </c>
      <c r="B6" t="inlineStr">
        <is>
          <t>Planner</t>
        </is>
      </c>
      <c r="C6" t="inlineStr">
        <is>
          <t>Research group</t>
        </is>
      </c>
      <c r="D6" t="inlineStr"/>
      <c r="E6" s="2" t="n">
        <v>0.5</v>
      </c>
      <c r="F6" s="2" t="n">
        <v>1</v>
      </c>
      <c r="G6" s="2" t="n">
        <v>600</v>
      </c>
      <c r="H6" s="2">
        <f>E6*F6*G6*M6</f>
        <v/>
      </c>
      <c r="I6" t="inlineStr">
        <is>
          <t>Complete</t>
        </is>
      </c>
      <c r="J6" t="inlineStr">
        <is>
          <t>to-research</t>
        </is>
      </c>
      <c r="K6" t="inlineStr">
        <is>
          <t>planner</t>
        </is>
      </c>
      <c r="L6" t="inlineStr">
        <is>
          <t>research</t>
        </is>
      </c>
      <c r="M6" s="2" t="n">
        <v>1</v>
      </c>
    </row>
    <row r="7">
      <c r="A7" t="inlineStr">
        <is>
          <t>Expected</t>
        </is>
      </c>
      <c r="B7" t="inlineStr">
        <is>
          <t>Research group</t>
        </is>
      </c>
      <c r="C7" t="inlineStr">
        <is>
          <t>Reviewer</t>
        </is>
      </c>
      <c r="D7" t="inlineStr"/>
      <c r="E7" s="2" t="n">
        <v>0.4</v>
      </c>
      <c r="F7" s="2" t="n">
        <v>1</v>
      </c>
      <c r="G7" s="2" t="n">
        <v>300</v>
      </c>
      <c r="H7" s="2">
        <f>E7*F7*G7*M7</f>
        <v/>
      </c>
      <c r="I7" t="inlineStr">
        <is>
          <t>Complete</t>
        </is>
      </c>
      <c r="J7" t="inlineStr">
        <is>
          <t>to-reviewer</t>
        </is>
      </c>
      <c r="K7" t="inlineStr">
        <is>
          <t>research</t>
        </is>
      </c>
      <c r="L7" t="inlineStr">
        <is>
          <t>reviewer</t>
        </is>
      </c>
      <c r="M7" s="2" t="n">
        <v>1</v>
      </c>
    </row>
    <row r="8">
      <c r="A8" t="inlineStr">
        <is>
          <t>Expected</t>
        </is>
      </c>
      <c r="B8" t="inlineStr">
        <is>
          <t>Planner</t>
        </is>
      </c>
      <c r="C8" t="inlineStr">
        <is>
          <t>Research tuned</t>
        </is>
      </c>
      <c r="D8" t="inlineStr"/>
      <c r="E8" s="2" t="n">
        <v>0.5</v>
      </c>
      <c r="F8" s="2" t="n">
        <v>1</v>
      </c>
      <c r="G8" s="2" t="n">
        <v>600</v>
      </c>
      <c r="H8" s="2">
        <f>E8*F8*G8*M8</f>
        <v/>
      </c>
      <c r="I8" t="inlineStr">
        <is>
          <t>Complete</t>
        </is>
      </c>
      <c r="J8" t="inlineStr">
        <is>
          <t>61996a9a-0f5e-4954-8b69-faac04d8be05</t>
        </is>
      </c>
      <c r="K8" t="inlineStr">
        <is>
          <t>planner</t>
        </is>
      </c>
      <c r="L8" t="inlineStr">
        <is>
          <t>9a30da2d-51e3-4595-8610-c3a3bcce101b</t>
        </is>
      </c>
      <c r="M8" s="2" t="n">
        <v>1</v>
      </c>
    </row>
    <row r="9">
      <c r="A9" t="inlineStr">
        <is>
          <t>Expected</t>
        </is>
      </c>
      <c r="B9" t="inlineStr">
        <is>
          <t>Research tuned</t>
        </is>
      </c>
      <c r="C9" t="inlineStr">
        <is>
          <t>Reviewer</t>
        </is>
      </c>
      <c r="D9" t="inlineStr"/>
      <c r="E9" s="2" t="n">
        <v>0.4</v>
      </c>
      <c r="F9" s="2" t="n">
        <v>1</v>
      </c>
      <c r="G9" s="2" t="n">
        <v>300</v>
      </c>
      <c r="H9" s="2">
        <f>E9*F9*G9*M9</f>
        <v/>
      </c>
      <c r="I9" t="inlineStr">
        <is>
          <t>Complete</t>
        </is>
      </c>
      <c r="J9" t="inlineStr">
        <is>
          <t>ef9ad5e2-11cc-48b8-bc67-1c2ef0ce96a1</t>
        </is>
      </c>
      <c r="K9" t="inlineStr">
        <is>
          <t>9a30da2d-51e3-4595-8610-c3a3bcce101b</t>
        </is>
      </c>
      <c r="L9" t="inlineStr">
        <is>
          <t>reviewer</t>
        </is>
      </c>
      <c r="M9" s="2" t="n">
        <v>1</v>
      </c>
    </row>
    <row r="10">
      <c r="A10" t="inlineStr">
        <is>
          <t>High</t>
        </is>
      </c>
      <c r="B10" t="inlineStr">
        <is>
          <t>Planner</t>
        </is>
      </c>
      <c r="C10" t="inlineStr">
        <is>
          <t>Research group</t>
        </is>
      </c>
      <c r="D10" t="inlineStr"/>
      <c r="E10" s="2" t="n">
        <v>1</v>
      </c>
      <c r="F10" s="2" t="n">
        <v>1</v>
      </c>
      <c r="G10" s="2" t="n">
        <v>600</v>
      </c>
      <c r="H10" s="2">
        <f>E10*F10*G10*M10</f>
        <v/>
      </c>
      <c r="I10" t="inlineStr">
        <is>
          <t>Complete</t>
        </is>
      </c>
      <c r="J10" t="inlineStr">
        <is>
          <t>to-research</t>
        </is>
      </c>
      <c r="K10" t="inlineStr">
        <is>
          <t>planner</t>
        </is>
      </c>
      <c r="L10" t="inlineStr">
        <is>
          <t>research</t>
        </is>
      </c>
      <c r="M10" s="2" t="n">
        <v>1</v>
      </c>
    </row>
    <row r="11">
      <c r="A11" t="inlineStr">
        <is>
          <t>High</t>
        </is>
      </c>
      <c r="B11" t="inlineStr">
        <is>
          <t>Research group</t>
        </is>
      </c>
      <c r="C11" t="inlineStr">
        <is>
          <t>Reviewer</t>
        </is>
      </c>
      <c r="D11" t="inlineStr"/>
      <c r="E11" s="2" t="n">
        <v>0.4</v>
      </c>
      <c r="F11" s="2" t="n">
        <v>1</v>
      </c>
      <c r="G11" s="2" t="n">
        <v>600</v>
      </c>
      <c r="H11" s="2">
        <f>E11*F11*G11*M11</f>
        <v/>
      </c>
      <c r="I11" t="inlineStr">
        <is>
          <t>Complete</t>
        </is>
      </c>
      <c r="J11" t="inlineStr">
        <is>
          <t>to-reviewer</t>
        </is>
      </c>
      <c r="K11" t="inlineStr">
        <is>
          <t>research</t>
        </is>
      </c>
      <c r="L11" t="inlineStr">
        <is>
          <t>reviewer</t>
        </is>
      </c>
      <c r="M11" s="2" t="n">
        <v>1</v>
      </c>
    </row>
    <row r="12">
      <c r="A12" t="inlineStr">
        <is>
          <t>High</t>
        </is>
      </c>
      <c r="B12" t="inlineStr">
        <is>
          <t>Planner</t>
        </is>
      </c>
      <c r="C12" t="inlineStr">
        <is>
          <t>Research tuned</t>
        </is>
      </c>
      <c r="D12" t="inlineStr"/>
      <c r="E12" s="2" t="n">
        <v>1</v>
      </c>
      <c r="F12" s="2" t="n">
        <v>1</v>
      </c>
      <c r="G12" s="2" t="n">
        <v>600</v>
      </c>
      <c r="H12" s="2">
        <f>E12*F12*G12*M12</f>
        <v/>
      </c>
      <c r="I12" t="inlineStr">
        <is>
          <t>Complete</t>
        </is>
      </c>
      <c r="J12" t="inlineStr">
        <is>
          <t>61996a9a-0f5e-4954-8b69-faac04d8be05</t>
        </is>
      </c>
      <c r="K12" t="inlineStr">
        <is>
          <t>planner</t>
        </is>
      </c>
      <c r="L12" t="inlineStr">
        <is>
          <t>9a30da2d-51e3-4595-8610-c3a3bcce101b</t>
        </is>
      </c>
      <c r="M12" s="2" t="n">
        <v>1</v>
      </c>
    </row>
    <row r="13">
      <c r="A13" t="inlineStr">
        <is>
          <t>High</t>
        </is>
      </c>
      <c r="B13" t="inlineStr">
        <is>
          <t>Research tuned</t>
        </is>
      </c>
      <c r="C13" t="inlineStr">
        <is>
          <t>Reviewer</t>
        </is>
      </c>
      <c r="D13" t="inlineStr"/>
      <c r="E13" s="2" t="n">
        <v>0.4</v>
      </c>
      <c r="F13" s="2" t="n">
        <v>1</v>
      </c>
      <c r="G13" s="2" t="n">
        <v>600</v>
      </c>
      <c r="H13" s="2">
        <f>E13*F13*G13*M13</f>
        <v/>
      </c>
      <c r="I13" t="inlineStr">
        <is>
          <t>Complete</t>
        </is>
      </c>
      <c r="J13" t="inlineStr">
        <is>
          <t>ef9ad5e2-11cc-48b8-bc67-1c2ef0ce96a1</t>
        </is>
      </c>
      <c r="K13" t="inlineStr">
        <is>
          <t>9a30da2d-51e3-4595-8610-c3a3bcce101b</t>
        </is>
      </c>
      <c r="L13" t="inlineStr">
        <is>
          <t>reviewer</t>
        </is>
      </c>
      <c r="M13" s="2" t="n">
        <v>1</v>
      </c>
    </row>
  </sheetData>
  <autoFilter ref="A1:M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19" customWidth="1" min="5" max="5"/>
    <col width="19" customWidth="1" min="6" max="6"/>
    <col width="19" customWidth="1" min="7" max="7"/>
    <col width="16" customWidth="1" min="8" max="8"/>
    <col width="16" customWidth="1" min="9" max="9"/>
    <col width="16" customWidth="1" min="10" max="10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Tool</t>
        </is>
      </c>
      <c r="D1" s="1" t="inlineStr">
        <is>
          <t>Monthly invocations</t>
        </is>
      </c>
      <c r="E1" s="1" t="inlineStr">
        <is>
          <t>Step probability</t>
        </is>
      </c>
      <c r="F1" s="1" t="inlineStr">
        <is>
          <t>Tool probability</t>
        </is>
      </c>
      <c r="G1" s="1" t="inlineStr">
        <is>
          <t>Units/invocation</t>
        </is>
      </c>
      <c r="H1" s="1" t="inlineStr">
        <is>
          <t>USD/unit</t>
        </is>
      </c>
      <c r="I1" s="1" t="inlineStr">
        <is>
          <t>Monthly USD</t>
        </is>
      </c>
      <c r="J1" s="1" t="inlineStr">
        <is>
          <t>Step ID</t>
        </is>
      </c>
    </row>
  </sheetData>
  <autoFilter ref="A1:J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0" customWidth="1" min="5" max="5"/>
    <col width="17" customWidth="1" min="6" max="6"/>
    <col width="24" customWidth="1" min="7" max="7"/>
    <col width="16" customWidth="1" min="8" max="8"/>
    <col width="16" customWidth="1" min="9" max="9"/>
    <col width="16" customWidth="1" min="10" max="10"/>
    <col width="27" customWidth="1" min="11" max="11"/>
  </cols>
  <sheetData>
    <row r="1" ht="32" customHeight="1">
      <c r="A1" s="1" t="inlineStr">
        <is>
          <t>Scenario</t>
        </is>
      </c>
      <c r="B1" s="1" t="inlineStr">
        <is>
          <t>Harness type</t>
        </is>
      </c>
      <c r="C1" s="1" t="inlineStr">
        <is>
          <t>Name</t>
        </is>
      </c>
      <c r="D1" s="1" t="inlineStr">
        <is>
          <t>Fixed USD/month</t>
        </is>
      </c>
      <c r="E1" s="1" t="inlineStr">
        <is>
          <t>Invocations/month</t>
        </is>
      </c>
      <c r="F1" s="1" t="inlineStr">
        <is>
          <t>USD/invocation</t>
        </is>
      </c>
      <c r="G1" s="1" t="inlineStr">
        <is>
          <t>Step executions/month</t>
        </is>
      </c>
      <c r="H1" s="1" t="inlineStr">
        <is>
          <t>USD/step</t>
        </is>
      </c>
      <c r="I1" s="1" t="inlineStr">
        <is>
          <t>Monthly USD</t>
        </is>
      </c>
      <c r="J1" s="1" t="inlineStr">
        <is>
          <t>Allocation</t>
        </is>
      </c>
      <c r="K1" s="1" t="inlineStr">
        <is>
          <t>Include in use-case cost</t>
        </is>
      </c>
    </row>
    <row r="2">
      <c r="A2" t="inlineStr">
        <is>
          <t>Low</t>
        </is>
      </c>
      <c r="B2" t="inlineStr">
        <is>
          <t>none</t>
        </is>
      </c>
      <c r="C2" t="inlineStr">
        <is>
          <t>Agent harness</t>
        </is>
      </c>
      <c r="D2" s="2" t="n">
        <v>0</v>
      </c>
      <c r="E2" s="2" t="n">
        <v>936</v>
      </c>
      <c r="F2" s="2" t="n">
        <v>0</v>
      </c>
      <c r="G2" s="2" t="n">
        <v>0</v>
      </c>
      <c r="H2" s="2" t="n">
        <v>0</v>
      </c>
      <c r="I2" s="2">
        <f>IF(B2="none",0,D2+E2*F2+G2*H2)</f>
        <v/>
      </c>
      <c r="J2" t="inlineStr">
        <is>
          <t>by_invocations</t>
        </is>
      </c>
      <c r="K2" s="2" t="b">
        <v>1</v>
      </c>
    </row>
    <row r="3">
      <c r="A3" t="inlineStr">
        <is>
          <t>Expected</t>
        </is>
      </c>
      <c r="B3" t="inlineStr">
        <is>
          <t>none</t>
        </is>
      </c>
      <c r="C3" t="inlineStr">
        <is>
          <t>Agent harness</t>
        </is>
      </c>
      <c r="D3" s="2" t="n">
        <v>0</v>
      </c>
      <c r="E3" s="2" t="n">
        <v>1440</v>
      </c>
      <c r="F3" s="2" t="n">
        <v>0</v>
      </c>
      <c r="G3" s="2" t="n">
        <v>0</v>
      </c>
      <c r="H3" s="2" t="n">
        <v>0</v>
      </c>
      <c r="I3" s="2">
        <f>IF(B3="none",0,D3+E3*F3+G3*H3)</f>
        <v/>
      </c>
      <c r="J3" t="inlineStr">
        <is>
          <t>by_invocations</t>
        </is>
      </c>
      <c r="K3" s="2" t="b">
        <v>1</v>
      </c>
    </row>
    <row r="4">
      <c r="A4" t="inlineStr">
        <is>
          <t>High</t>
        </is>
      </c>
      <c r="B4" t="inlineStr">
        <is>
          <t>none</t>
        </is>
      </c>
      <c r="C4" t="inlineStr">
        <is>
          <t>Agent harness</t>
        </is>
      </c>
      <c r="D4" s="2" t="n">
        <v>0</v>
      </c>
      <c r="E4" s="2" t="n">
        <v>2280</v>
      </c>
      <c r="F4" s="2" t="n">
        <v>0</v>
      </c>
      <c r="G4" s="2" t="n">
        <v>0</v>
      </c>
      <c r="H4" s="2" t="n">
        <v>0</v>
      </c>
      <c r="I4" s="2">
        <f>IF(B4="none",0,D4+E4*F4+G4*H4)</f>
        <v/>
      </c>
      <c r="J4" t="inlineStr">
        <is>
          <t>by_invocations</t>
        </is>
      </c>
      <c r="K4" s="2" t="b">
        <v>1</v>
      </c>
    </row>
  </sheetData>
  <autoFilter ref="A1:K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24" customWidth="1" min="5" max="5"/>
    <col width="25" customWidth="1" min="6" max="6"/>
    <col width="24" customWidth="1" min="7" max="7"/>
    <col width="16" customWidth="1" min="8" max="8"/>
    <col width="19" customWidth="1" min="9" max="9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Use case</t>
        </is>
      </c>
      <c r="D1" s="1" t="inlineStr">
        <is>
          <t>Monthly completions</t>
        </is>
      </c>
      <c r="E1" s="1" t="inlineStr">
        <is>
          <t>Direct USD/completion</t>
        </is>
      </c>
      <c r="F1" s="1" t="inlineStr">
        <is>
          <t>Harness USD/completion</t>
        </is>
      </c>
      <c r="G1" s="1" t="inlineStr">
        <is>
          <t>Loaded USD/completion</t>
        </is>
      </c>
      <c r="H1" s="1" t="inlineStr">
        <is>
          <t>Status</t>
        </is>
      </c>
      <c r="I1" s="1" t="inlineStr">
        <is>
          <t>Calculation path</t>
        </is>
      </c>
    </row>
    <row r="2">
      <c r="A2" t="inlineStr">
        <is>
          <t>Low</t>
        </is>
      </c>
      <c r="B2" t="inlineStr">
        <is>
          <t>Planner</t>
        </is>
      </c>
      <c r="C2" t="inlineStr">
        <is>
          <t>Planner</t>
        </is>
      </c>
      <c r="D2" s="2" t="n">
        <v>600</v>
      </c>
      <c r="E2" s="2" t="n">
        <v>0.0021</v>
      </c>
      <c r="F2" s="2" t="n">
        <v>0</v>
      </c>
      <c r="G2" s="2" t="n">
        <v>0.003156</v>
      </c>
      <c r="H2" t="inlineStr">
        <is>
          <t>Complete</t>
        </is>
      </c>
      <c r="I2" t="inlineStr">
        <is>
          <t>Precomputed DAG rollup; inputs and direct calculations in other sheets</t>
        </is>
      </c>
    </row>
    <row r="3">
      <c r="A3" t="inlineStr">
        <is>
          <t>Low</t>
        </is>
      </c>
      <c r="B3" t="inlineStr">
        <is>
          <t>Research group</t>
        </is>
      </c>
      <c r="C3" t="inlineStr">
        <is>
          <t>Research group</t>
        </is>
      </c>
      <c r="D3" s="2" t="n">
        <v>120</v>
      </c>
      <c r="E3" s="2" t="n">
        <v>0.0021</v>
      </c>
      <c r="F3" s="2" t="n">
        <v>0</v>
      </c>
      <c r="G3" s="2" t="n">
        <v>0.00294</v>
      </c>
      <c r="H3" t="inlineStr">
        <is>
          <t>Complete</t>
        </is>
      </c>
      <c r="I3" t="inlineStr">
        <is>
          <t>Precomputed DAG rollup; inputs and direct calculations in other sheets</t>
        </is>
      </c>
    </row>
    <row r="4">
      <c r="A4" t="inlineStr">
        <is>
          <t>Low</t>
        </is>
      </c>
      <c r="B4" t="inlineStr">
        <is>
          <t>Reviewer</t>
        </is>
      </c>
      <c r="C4" t="inlineStr">
        <is>
          <t>Reviewer</t>
        </is>
      </c>
      <c r="D4" s="2" t="n">
        <v>96</v>
      </c>
      <c r="E4" s="2" t="n">
        <v>0.0021</v>
      </c>
      <c r="F4" s="2" t="n">
        <v>0</v>
      </c>
      <c r="G4" s="2" t="n">
        <v>0.0021</v>
      </c>
      <c r="H4" t="inlineStr">
        <is>
          <t>Complete</t>
        </is>
      </c>
      <c r="I4" t="inlineStr">
        <is>
          <t>Precomputed DAG rollup; inputs and direct calculations in other sheets</t>
        </is>
      </c>
    </row>
    <row r="5">
      <c r="A5" t="inlineStr">
        <is>
          <t>Low</t>
        </is>
      </c>
      <c r="B5" t="inlineStr">
        <is>
          <t>Research tuned</t>
        </is>
      </c>
      <c r="C5" t="inlineStr">
        <is>
          <t>Analyze documents</t>
        </is>
      </c>
      <c r="D5" s="2" t="n">
        <v>120</v>
      </c>
      <c r="E5" s="2" t="n">
        <v>0.0015</v>
      </c>
      <c r="F5" s="2" t="n">
        <v>0</v>
      </c>
      <c r="G5" s="2" t="n">
        <v>0.00234</v>
      </c>
      <c r="H5" t="inlineStr">
        <is>
          <t>Complete</t>
        </is>
      </c>
      <c r="I5" t="inlineStr">
        <is>
          <t>Precomputed DAG rollup; inputs and direct calculations in other sheets</t>
        </is>
      </c>
    </row>
    <row r="6">
      <c r="A6" t="inlineStr">
        <is>
          <t>Expected</t>
        </is>
      </c>
      <c r="B6" t="inlineStr">
        <is>
          <t>Planner</t>
        </is>
      </c>
      <c r="C6" t="inlineStr">
        <is>
          <t>Planner</t>
        </is>
      </c>
      <c r="D6" s="2" t="n">
        <v>600</v>
      </c>
      <c r="E6" s="2" t="n">
        <v>0.0028</v>
      </c>
      <c r="F6" s="2" t="n">
        <v>0</v>
      </c>
      <c r="G6" s="2" t="n">
        <v>0.00632</v>
      </c>
      <c r="H6" t="inlineStr">
        <is>
          <t>Complete</t>
        </is>
      </c>
      <c r="I6" t="inlineStr">
        <is>
          <t>Precomputed DAG rollup; inputs and direct calculations in other sheets</t>
        </is>
      </c>
    </row>
    <row r="7">
      <c r="A7" t="inlineStr">
        <is>
          <t>Expected</t>
        </is>
      </c>
      <c r="B7" t="inlineStr">
        <is>
          <t>Research group</t>
        </is>
      </c>
      <c r="C7" t="inlineStr">
        <is>
          <t>Research group</t>
        </is>
      </c>
      <c r="D7" s="2" t="n">
        <v>300</v>
      </c>
      <c r="E7" s="2" t="n">
        <v>0.0028</v>
      </c>
      <c r="F7" s="2" t="n">
        <v>0</v>
      </c>
      <c r="G7" s="2" t="n">
        <v>0.00392</v>
      </c>
      <c r="H7" t="inlineStr">
        <is>
          <t>Complete</t>
        </is>
      </c>
      <c r="I7" t="inlineStr">
        <is>
          <t>Precomputed DAG rollup; inputs and direct calculations in other sheets</t>
        </is>
      </c>
    </row>
    <row r="8">
      <c r="A8" t="inlineStr">
        <is>
          <t>Expected</t>
        </is>
      </c>
      <c r="B8" t="inlineStr">
        <is>
          <t>Reviewer</t>
        </is>
      </c>
      <c r="C8" t="inlineStr">
        <is>
          <t>Reviewer</t>
        </is>
      </c>
      <c r="D8" s="2" t="n">
        <v>240</v>
      </c>
      <c r="E8" s="2" t="n">
        <v>0.0028</v>
      </c>
      <c r="F8" s="2" t="n">
        <v>0</v>
      </c>
      <c r="G8" s="2" t="n">
        <v>0.0028</v>
      </c>
      <c r="H8" t="inlineStr">
        <is>
          <t>Complete</t>
        </is>
      </c>
      <c r="I8" t="inlineStr">
        <is>
          <t>Precomputed DAG rollup; inputs and direct calculations in other sheets</t>
        </is>
      </c>
    </row>
    <row r="9">
      <c r="A9" t="inlineStr">
        <is>
          <t>Expected</t>
        </is>
      </c>
      <c r="B9" t="inlineStr">
        <is>
          <t>Research tuned</t>
        </is>
      </c>
      <c r="C9" t="inlineStr">
        <is>
          <t>Analyze documents</t>
        </is>
      </c>
      <c r="D9" s="2" t="n">
        <v>300</v>
      </c>
      <c r="E9" s="2" t="n">
        <v>0.002</v>
      </c>
      <c r="F9" s="2" t="n">
        <v>0</v>
      </c>
      <c r="G9" s="2" t="n">
        <v>0.00312</v>
      </c>
      <c r="H9" t="inlineStr">
        <is>
          <t>Complete</t>
        </is>
      </c>
      <c r="I9" t="inlineStr">
        <is>
          <t>Precomputed DAG rollup; inputs and direct calculations in other sheets</t>
        </is>
      </c>
    </row>
    <row r="10">
      <c r="A10" t="inlineStr">
        <is>
          <t>High</t>
        </is>
      </c>
      <c r="B10" t="inlineStr">
        <is>
          <t>Planner</t>
        </is>
      </c>
      <c r="C10" t="inlineStr">
        <is>
          <t>Planner</t>
        </is>
      </c>
      <c r="D10" s="2" t="n">
        <v>600</v>
      </c>
      <c r="E10" s="2" t="n">
        <v>0.0042</v>
      </c>
      <c r="F10" s="2" t="n">
        <v>0</v>
      </c>
      <c r="G10" s="2" t="n">
        <v>0.01476</v>
      </c>
      <c r="H10" t="inlineStr">
        <is>
          <t>Complete</t>
        </is>
      </c>
      <c r="I10" t="inlineStr">
        <is>
          <t>Precomputed DAG rollup; inputs and direct calculations in other sheets</t>
        </is>
      </c>
    </row>
    <row r="11">
      <c r="A11" t="inlineStr">
        <is>
          <t>High</t>
        </is>
      </c>
      <c r="B11" t="inlineStr">
        <is>
          <t>Research group</t>
        </is>
      </c>
      <c r="C11" t="inlineStr">
        <is>
          <t>Research group</t>
        </is>
      </c>
      <c r="D11" s="2" t="n">
        <v>600</v>
      </c>
      <c r="E11" s="2" t="n">
        <v>0.0042</v>
      </c>
      <c r="F11" s="2" t="n">
        <v>0</v>
      </c>
      <c r="G11" s="2" t="n">
        <v>0.00588</v>
      </c>
      <c r="H11" t="inlineStr">
        <is>
          <t>Complete</t>
        </is>
      </c>
      <c r="I11" t="inlineStr">
        <is>
          <t>Precomputed DAG rollup; inputs and direct calculations in other sheets</t>
        </is>
      </c>
    </row>
    <row r="12">
      <c r="A12" t="inlineStr">
        <is>
          <t>High</t>
        </is>
      </c>
      <c r="B12" t="inlineStr">
        <is>
          <t>Reviewer</t>
        </is>
      </c>
      <c r="C12" t="inlineStr">
        <is>
          <t>Reviewer</t>
        </is>
      </c>
      <c r="D12" s="2" t="n">
        <v>480</v>
      </c>
      <c r="E12" s="2" t="n">
        <v>0.0042</v>
      </c>
      <c r="F12" s="2" t="n">
        <v>0</v>
      </c>
      <c r="G12" s="2" t="n">
        <v>0.0042</v>
      </c>
      <c r="H12" t="inlineStr">
        <is>
          <t>Complete</t>
        </is>
      </c>
      <c r="I12" t="inlineStr">
        <is>
          <t>Precomputed DAG rollup; inputs and direct calculations in other sheets</t>
        </is>
      </c>
    </row>
    <row r="13">
      <c r="A13" t="inlineStr">
        <is>
          <t>High</t>
        </is>
      </c>
      <c r="B13" t="inlineStr">
        <is>
          <t>Research tuned</t>
        </is>
      </c>
      <c r="C13" t="inlineStr">
        <is>
          <t>Analyze documents</t>
        </is>
      </c>
      <c r="D13" s="2" t="n">
        <v>600</v>
      </c>
      <c r="E13" s="2" t="n">
        <v>0.003</v>
      </c>
      <c r="F13" s="2" t="n">
        <v>0</v>
      </c>
      <c r="G13" s="2" t="n">
        <v>0.00468</v>
      </c>
      <c r="H13" t="inlineStr">
        <is>
          <t>Complete</t>
        </is>
      </c>
      <c r="I13" t="inlineStr">
        <is>
          <t>Precomputed DAG rollup; inputs and direct calculations in other sheets</t>
        </is>
      </c>
    </row>
  </sheetData>
  <autoFilter ref="A1:I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SUMIF(Volume!B2:B5,A2,Volume!J2:J5)</f>
        <v/>
      </c>
    </row>
    <row r="3">
      <c r="A3" t="inlineStr">
        <is>
          <t>medium</t>
        </is>
      </c>
      <c r="B3" s="2">
        <f>SUMIF(Volume!B2:B5,A3,Volume!J2:J5)</f>
        <v/>
      </c>
    </row>
    <row r="4">
      <c r="A4" t="inlineStr">
        <is>
          <t>high</t>
        </is>
      </c>
      <c r="B4" s="2">
        <f>SUMIF(Volume!B2:B5,A4,Volume!J2:J5)</f>
        <v/>
      </c>
    </row>
  </sheetData>
  <autoFilter ref="A1:B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SUMIFS(Calculations!R2:R13,Calculations!A2:A13,"Expected",Calculations!AF2:AF13,A2)</f>
        <v/>
      </c>
      <c r="C2" s="2">
        <f>SUMIFS(Calculations!S2:S13,Calculations!A2:A13,"Expected",Calculations!AF2:AF13,A2)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SUMIFS(Calculations!R2:R13,Calculations!A2:A13,"Expected",Calculations!AF2:AF13,A3)</f>
        <v/>
      </c>
      <c r="C3" s="2">
        <f>SUMIFS(Calculations!S2:S13,Calculations!A2:A13,"Expected",Calculations!AF2:AF13,A3)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SUMIFS(Calculations!R2:R13,Calculations!A2:A13,"Expected",Calculations!AF2:AF13,A4)</f>
        <v/>
      </c>
      <c r="C4" s="2">
        <f>SUMIFS(Calculations!S2:S13,Calculations!A2:A13,"Expected",Calculations!AF2:AF13,A4)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SUMIFS(Calculations!AG2:AG13,Calculations!A2:A13,"Expected",Calculations!AF2:AF13,A2)</f>
        <v/>
      </c>
      <c r="D2" s="2">
        <f>SUMIFS(Calculations!T2:T13,Calculations!A2:A13,"Expected",Calculations!AF2:AF13,A2)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SUMIFS(Calculations!AH2:AH13,Calculations!A2:A13,"Expected",Calculations!AF2:AF13,A3)</f>
        <v/>
      </c>
      <c r="D3" s="2">
        <f>SUMIFS(Calculations!V2:V13,Calculations!A2:A13,"Expected",Calculations!AF2:AF13,A3)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SUMIFS(Calculations!AI2:AI13,Calculations!A2:A13,"Expected",Calculations!AF2:AF13,A4)</f>
        <v/>
      </c>
      <c r="D4" s="2">
        <f>SUMIFS(Calculations!W2:W13,Calculations!A2:A13,"Expected",Calculations!AF2:AF13,A4)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SUMIFS(Calculations!S2:S13,Calculations!A2:A13,"Expected",Calculations!AF2:AF13,A5)</f>
        <v/>
      </c>
      <c r="D5" s="2">
        <f>SUMIFS(Calculations!U2:U13,Calculations!A2:A13,"Expected",Calculations!AF2:AF13,A5)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SUMIFS(Calculations!AG2:AG13,Calculations!A2:A13,"Expected",Calculations!AF2:AF13,A7)</f>
        <v/>
      </c>
      <c r="D7" s="2">
        <f>SUMIFS(Calculations!T2:T13,Calculations!A2:A13,"Expected",Calculations!AF2:AF13,A7)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SUMIFS(Calculations!AH2:AH13,Calculations!A2:A13,"Expected",Calculations!AF2:AF13,A8)</f>
        <v/>
      </c>
      <c r="D8" s="2">
        <f>SUMIFS(Calculations!V2:V13,Calculations!A2:A13,"Expected",Calculations!AF2:AF13,A8)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SUMIFS(Calculations!AI2:AI13,Calculations!A2:A13,"Expected",Calculations!AF2:AF13,A9)</f>
        <v/>
      </c>
      <c r="D9" s="2">
        <f>SUMIFS(Calculations!W2:W13,Calculations!A2:A13,"Expected",Calculations!AF2:AF13,A9)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SUMIFS(Calculations!S2:S13,Calculations!A2:A13,"Expected",Calculations!AF2:AF13,A10)</f>
        <v/>
      </c>
      <c r="D10" s="2">
        <f>SUMIFS(Calculations!U2:U13,Calculations!A2:A13,"Expected",Calculations!AF2:AF13,A10)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SUMIFS(Calculations!AG2:AG13,Calculations!A2:A13,"Expected",Calculations!AF2:AF13,A12)</f>
        <v/>
      </c>
      <c r="D12" s="2">
        <f>SUMIFS(Calculations!T2:T13,Calculations!A2:A13,"Expected",Calculations!AF2:AF13,A12)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SUMIFS(Calculations!AH2:AH13,Calculations!A2:A13,"Expected",Calculations!AF2:AF13,A13)</f>
        <v/>
      </c>
      <c r="D13" s="2">
        <f>SUMIFS(Calculations!V2:V13,Calculations!A2:A13,"Expected",Calculations!AF2:AF13,A13)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SUMIFS(Calculations!AI2:AI13,Calculations!A2:A13,"Expected",Calculations!AF2:AF13,A14)</f>
        <v/>
      </c>
      <c r="D14" s="2">
        <f>SUMIFS(Calculations!W2:W13,Calculations!A2:A13,"Expected",Calculations!AF2:AF13,A14)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SUMIFS(Calculations!S2:S13,Calculations!A2:A13,"Expected",Calculations!AF2:AF13,A15)</f>
        <v/>
      </c>
      <c r="D15" s="2">
        <f>SUMIFS(Calculations!U2:U13,Calculations!A2:A13,"Expected",Calculations!AF2:AF13,A15)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1000</t>
        </is>
      </c>
      <c r="D2" t="inlineStr">
        <is>
          <t>100</t>
        </is>
      </c>
      <c r="E2" t="inlineStr">
        <is>
          <t>0</t>
        </is>
      </c>
      <c r="F2" t="inlineStr">
        <is>
          <t>0</t>
        </is>
      </c>
      <c r="G2" t="inlineStr">
        <is>
          <t>0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</row>
  </sheetData>
  <autoFilter ref="A1:G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9" customWidth="1" min="4" max="4"/>
    <col width="33" customWidth="1" min="5" max="5"/>
    <col width="3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20" customWidth="1" min="15" max="15"/>
    <col width="24" customWidth="1" min="16" max="16"/>
    <col width="16" customWidth="1" min="17" max="17"/>
    <col width="20" customWidth="1" min="18" max="18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original currency/M</t>
        </is>
      </c>
      <c r="D1" s="1" t="inlineStr">
        <is>
          <t>Output original currency/M</t>
        </is>
      </c>
      <c r="E1" s="1" t="inlineStr">
        <is>
          <t>Cache read original currency/M</t>
        </is>
      </c>
      <c r="F1" s="1" t="inlineStr">
        <is>
          <t>Cache write original currency/M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  <c r="L1" s="1" t="inlineStr">
        <is>
          <t>Source type</t>
        </is>
      </c>
      <c r="M1" s="1" t="inlineStr">
        <is>
          <t>Channel</t>
        </is>
      </c>
      <c r="N1" s="1" t="inlineStr">
        <is>
          <t>Region</t>
        </is>
      </c>
      <c r="O1" s="1" t="inlineStr">
        <is>
          <t>Original currency</t>
        </is>
      </c>
      <c r="P1" s="1" t="inlineStr">
        <is>
          <t>USD per currency unit</t>
        </is>
      </c>
      <c r="Q1" s="1" t="inlineStr">
        <is>
          <t>FX source</t>
        </is>
      </c>
      <c r="R1" s="1" t="inlineStr">
        <is>
          <t>FX retrieval date</t>
        </is>
      </c>
    </row>
    <row r="2">
      <c r="A2" t="inlineStr">
        <is>
          <t>Fixture A</t>
        </is>
      </c>
      <c r="B2" t="inlineStr">
        <is>
          <t>Synthetic fixture</t>
        </is>
      </c>
      <c r="C2" s="2" t="n">
        <v>2</v>
      </c>
      <c r="D2" s="2" t="n">
        <v>8</v>
      </c>
      <c r="G2" t="inlineStr">
        <is>
          <t>Architect fixture</t>
        </is>
      </c>
      <c r="H2" t="inlineStr">
        <is>
          <t>2026-10-02</t>
        </is>
      </c>
      <c r="I2" s="2" t="b">
        <v>1</v>
      </c>
      <c r="J2" t="inlineStr"/>
      <c r="K2" t="inlineStr"/>
      <c r="L2" t="inlineStr">
        <is>
          <t>vendor_api</t>
        </is>
      </c>
      <c r="M2" t="inlineStr"/>
      <c r="N2" t="inlineStr"/>
      <c r="O2" t="inlineStr">
        <is>
          <t>USD</t>
        </is>
      </c>
      <c r="P2" s="2" t="n">
        <v>1</v>
      </c>
      <c r="Q2" t="inlineStr"/>
      <c r="R2" t="inlineStr"/>
    </row>
    <row r="3">
      <c r="A3" t="inlineStr">
        <is>
          <t>Fixture B</t>
        </is>
      </c>
      <c r="B3" t="inlineStr">
        <is>
          <t>Synthetic fixture</t>
        </is>
      </c>
      <c r="C3" s="2" t="n">
        <v>1</v>
      </c>
      <c r="D3" s="2" t="n">
        <v>4</v>
      </c>
      <c r="G3" t="inlineStr">
        <is>
          <t>Architect fixture</t>
        </is>
      </c>
      <c r="H3" t="inlineStr">
        <is>
          <t>2026-10-02</t>
        </is>
      </c>
      <c r="I3" s="2" t="b">
        <v>1</v>
      </c>
      <c r="J3" t="inlineStr"/>
      <c r="K3" t="inlineStr"/>
      <c r="L3" t="inlineStr">
        <is>
          <t>vendor_api</t>
        </is>
      </c>
      <c r="M3" t="inlineStr"/>
      <c r="N3" t="inlineStr"/>
      <c r="O3" t="inlineStr">
        <is>
          <t>USD</t>
        </is>
      </c>
      <c r="P3" s="2" t="n">
        <v>1</v>
      </c>
      <c r="Q3" t="inlineStr"/>
      <c r="R3" t="inlineStr"/>
    </row>
  </sheetData>
  <autoFilter ref="A1:R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Linked customization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Per-agent tool rows and the simple suite harness are separate. Cache storage, multimodal charges, and advanced platform billing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model row appears in Calculations and replaces the aggregate. Column G is raw calls in AJ multiplied by step x model probability in AK; edit AJ/AK to recalculate. The Agents sheet is an aggregate import template, not a lossless backup of detailed steps.</t>
        </is>
      </c>
    </row>
    <row r="17">
      <c r="A17" t="inlineStr">
        <is>
          <t>Tools, harness, and use cases</t>
        </is>
      </c>
      <c r="B17" t="inlineStr">
        <is>
          <t>Tool costs and Harness feed the Summary recurring total through formulas. Use cases stores the precomputed fully loaded DAG cost per completion; edit the graph in the app and re-export. A fixed harness charge stays in the suite total even at zero workload.</t>
        </is>
      </c>
    </row>
    <row r="18">
      <c r="A18" t="inlineStr">
        <is>
          <t>Original currency and FX</t>
        </is>
      </c>
      <c r="B18" t="inlineStr">
        <is>
          <t>Pricing records original-currency rates and the user-supplied USD conversion snapshot. Calculations stores the selected effective USD rates; changing FX in Pricing does not update Calculations until re-export.</t>
        </is>
      </c>
    </row>
    <row r="19">
      <c r="A19" t="inlineStr">
        <is>
          <t>Version</t>
        </is>
      </c>
      <c r="B19" t="inlineStr">
        <is>
          <t>Schema 8; defaults 1</t>
        </is>
      </c>
    </row>
  </sheetData>
  <autoFilter ref="A1:B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2026-10-04T19:08:53Z</dcterms:created>
  <dcterms:modified xsi:type="dcterms:W3CDTF">2026-10-04T19:08:53Z</dcterms:modified>
</cp:coreProperties>
</file>